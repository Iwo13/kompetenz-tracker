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1" documentId="11_65579844B888C967F25E2293CC305D1D0147E612" xr6:coauthVersionLast="47" xr6:coauthVersionMax="47" xr10:uidLastSave="{EDABE8AF-DDB4-449C-B924-B186E6596579}"/>
  <bookViews>
    <workbookView xWindow="360" yWindow="15" windowWidth="20955" windowHeight="9720" xr2:uid="{00000000-000D-0000-FFFF-FFFF00000000}"/>
  </bookViews>
  <sheets>
    <sheet name="Gesamtbewertung" sheetId="1" r:id="rId1"/>
    <sheet name="Bewertung schriftliche Arbeit" sheetId="2" r:id="rId2"/>
    <sheet name="Bewertung Präsentatio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7" i="3" l="1"/>
  <c r="I27" i="3"/>
  <c r="K27" i="3" s="1"/>
  <c r="J26" i="3"/>
  <c r="I26" i="3"/>
  <c r="K26" i="3" s="1"/>
  <c r="J25" i="3"/>
  <c r="I25" i="3"/>
  <c r="K25" i="3" s="1"/>
  <c r="J24" i="3"/>
  <c r="I24" i="3"/>
  <c r="K24" i="3" s="1"/>
  <c r="J23" i="3"/>
  <c r="I23" i="3"/>
  <c r="K23" i="3" s="1"/>
  <c r="K22" i="3"/>
  <c r="J22" i="3"/>
  <c r="H22" i="3"/>
  <c r="G22" i="3"/>
  <c r="J20" i="3"/>
  <c r="I20" i="3"/>
  <c r="K20" i="3" s="1"/>
  <c r="J19" i="3"/>
  <c r="I19" i="3"/>
  <c r="K19" i="3" s="1"/>
  <c r="K18" i="3"/>
  <c r="J18" i="3"/>
  <c r="H18" i="3"/>
  <c r="G18" i="3"/>
  <c r="J16" i="3"/>
  <c r="I16" i="3"/>
  <c r="K16" i="3" s="1"/>
  <c r="J15" i="3"/>
  <c r="I15" i="3"/>
  <c r="K15" i="3" s="1"/>
  <c r="J14" i="3"/>
  <c r="I14" i="3"/>
  <c r="K14" i="3" s="1"/>
  <c r="J13" i="3"/>
  <c r="I13" i="3"/>
  <c r="K13" i="3" s="1"/>
  <c r="J12" i="3"/>
  <c r="I12" i="3"/>
  <c r="K12" i="3" s="1"/>
  <c r="K11" i="3"/>
  <c r="J11" i="3"/>
  <c r="H11" i="3"/>
  <c r="G11" i="3"/>
  <c r="D4" i="3"/>
  <c r="B4" i="3"/>
  <c r="B3" i="3"/>
  <c r="A3" i="3"/>
  <c r="AN301" i="2"/>
  <c r="AM301" i="2"/>
  <c r="AL301" i="2"/>
  <c r="AK301" i="2"/>
  <c r="AJ301" i="2"/>
  <c r="AN300" i="2"/>
  <c r="AM300" i="2"/>
  <c r="AL300" i="2"/>
  <c r="AK300" i="2"/>
  <c r="AJ300" i="2"/>
  <c r="AN299" i="2"/>
  <c r="AM299" i="2"/>
  <c r="AL299" i="2"/>
  <c r="AK299" i="2"/>
  <c r="AJ299" i="2"/>
  <c r="AN298" i="2"/>
  <c r="AM298" i="2"/>
  <c r="AL298" i="2"/>
  <c r="AK298" i="2"/>
  <c r="AJ298" i="2"/>
  <c r="AN297" i="2"/>
  <c r="AM297" i="2"/>
  <c r="AL297" i="2"/>
  <c r="AK297" i="2"/>
  <c r="AJ297" i="2"/>
  <c r="AN296" i="2"/>
  <c r="AM296" i="2"/>
  <c r="AL296" i="2"/>
  <c r="AK296" i="2"/>
  <c r="AJ296" i="2"/>
  <c r="AN295" i="2"/>
  <c r="AM295" i="2"/>
  <c r="AL295" i="2"/>
  <c r="AK295" i="2"/>
  <c r="AJ295" i="2"/>
  <c r="AN294" i="2"/>
  <c r="AM294" i="2"/>
  <c r="AL294" i="2"/>
  <c r="AK294" i="2"/>
  <c r="AJ294" i="2"/>
  <c r="AN293" i="2"/>
  <c r="AM293" i="2"/>
  <c r="AL293" i="2"/>
  <c r="AK293" i="2"/>
  <c r="AJ293" i="2"/>
  <c r="AN292" i="2"/>
  <c r="AM292" i="2"/>
  <c r="AL292" i="2"/>
  <c r="AK292" i="2"/>
  <c r="AJ292" i="2"/>
  <c r="AN291" i="2"/>
  <c r="AM291" i="2"/>
  <c r="AL291" i="2"/>
  <c r="AK291" i="2"/>
  <c r="AJ291" i="2"/>
  <c r="AN290" i="2"/>
  <c r="AM290" i="2"/>
  <c r="AL290" i="2"/>
  <c r="AK290" i="2"/>
  <c r="AJ290" i="2"/>
  <c r="AN289" i="2"/>
  <c r="AM289" i="2"/>
  <c r="AL289" i="2"/>
  <c r="AK289" i="2"/>
  <c r="AJ289" i="2"/>
  <c r="AN288" i="2"/>
  <c r="AM288" i="2"/>
  <c r="AL288" i="2"/>
  <c r="AK288" i="2"/>
  <c r="AJ288" i="2"/>
  <c r="AN287" i="2"/>
  <c r="AM287" i="2"/>
  <c r="AL287" i="2"/>
  <c r="AK287" i="2"/>
  <c r="AJ287" i="2"/>
  <c r="AN286" i="2"/>
  <c r="AM286" i="2"/>
  <c r="AL286" i="2"/>
  <c r="AK286" i="2"/>
  <c r="AJ286" i="2"/>
  <c r="AN285" i="2"/>
  <c r="AM285" i="2"/>
  <c r="AL285" i="2"/>
  <c r="AK285" i="2"/>
  <c r="AJ285" i="2"/>
  <c r="AN284" i="2"/>
  <c r="AM284" i="2"/>
  <c r="AL284" i="2"/>
  <c r="AK284" i="2"/>
  <c r="AJ284" i="2"/>
  <c r="AN283" i="2"/>
  <c r="AM283" i="2"/>
  <c r="AL283" i="2"/>
  <c r="AK283" i="2"/>
  <c r="AJ283" i="2"/>
  <c r="AN282" i="2"/>
  <c r="AM282" i="2"/>
  <c r="AL282" i="2"/>
  <c r="AK282" i="2"/>
  <c r="AJ282" i="2"/>
  <c r="AN281" i="2"/>
  <c r="AM281" i="2"/>
  <c r="AL281" i="2"/>
  <c r="AK281" i="2"/>
  <c r="AJ281" i="2"/>
  <c r="AN280" i="2"/>
  <c r="AM280" i="2"/>
  <c r="AL280" i="2"/>
  <c r="AK280" i="2"/>
  <c r="AJ280" i="2"/>
  <c r="AN279" i="2"/>
  <c r="AM279" i="2"/>
  <c r="AL279" i="2"/>
  <c r="AK279" i="2"/>
  <c r="AJ279" i="2"/>
  <c r="AN278" i="2"/>
  <c r="AM278" i="2"/>
  <c r="AL278" i="2"/>
  <c r="AK278" i="2"/>
  <c r="AJ278" i="2"/>
  <c r="AN277" i="2"/>
  <c r="AM277" i="2"/>
  <c r="AL277" i="2"/>
  <c r="AK277" i="2"/>
  <c r="AJ277" i="2"/>
  <c r="AN276" i="2"/>
  <c r="AM276" i="2"/>
  <c r="AL276" i="2"/>
  <c r="AK276" i="2"/>
  <c r="AJ276" i="2"/>
  <c r="AN275" i="2"/>
  <c r="AM275" i="2"/>
  <c r="AL275" i="2"/>
  <c r="AK275" i="2"/>
  <c r="AJ275" i="2"/>
  <c r="AN274" i="2"/>
  <c r="AM274" i="2"/>
  <c r="AL274" i="2"/>
  <c r="AK274" i="2"/>
  <c r="AJ274" i="2"/>
  <c r="AN273" i="2"/>
  <c r="AM273" i="2"/>
  <c r="AL273" i="2"/>
  <c r="AK273" i="2"/>
  <c r="AJ273" i="2"/>
  <c r="AN272" i="2"/>
  <c r="AM272" i="2"/>
  <c r="AL272" i="2"/>
  <c r="AK272" i="2"/>
  <c r="AJ272" i="2"/>
  <c r="AN271" i="2"/>
  <c r="AM271" i="2"/>
  <c r="AL271" i="2"/>
  <c r="AK271" i="2"/>
  <c r="AJ271" i="2"/>
  <c r="AN270" i="2"/>
  <c r="AM270" i="2"/>
  <c r="AL270" i="2"/>
  <c r="AK270" i="2"/>
  <c r="AJ270" i="2"/>
  <c r="AN269" i="2"/>
  <c r="AM269" i="2"/>
  <c r="AL269" i="2"/>
  <c r="AK269" i="2"/>
  <c r="AJ269" i="2"/>
  <c r="AN268" i="2"/>
  <c r="AM268" i="2"/>
  <c r="AL268" i="2"/>
  <c r="AK268" i="2"/>
  <c r="AJ268" i="2"/>
  <c r="AN267" i="2"/>
  <c r="AM267" i="2"/>
  <c r="AL267" i="2"/>
  <c r="AK267" i="2"/>
  <c r="AJ267" i="2"/>
  <c r="AN266" i="2"/>
  <c r="AM266" i="2"/>
  <c r="AL266" i="2"/>
  <c r="AK266" i="2"/>
  <c r="AJ266" i="2"/>
  <c r="AN265" i="2"/>
  <c r="AM265" i="2"/>
  <c r="AL265" i="2"/>
  <c r="AK265" i="2"/>
  <c r="AJ265" i="2"/>
  <c r="AN264" i="2"/>
  <c r="AM264" i="2"/>
  <c r="AL264" i="2"/>
  <c r="AK264" i="2"/>
  <c r="AJ264" i="2"/>
  <c r="AN263" i="2"/>
  <c r="AM263" i="2"/>
  <c r="AL263" i="2"/>
  <c r="AK263" i="2"/>
  <c r="AJ263" i="2"/>
  <c r="AN262" i="2"/>
  <c r="AM262" i="2"/>
  <c r="AL262" i="2"/>
  <c r="AK262" i="2"/>
  <c r="AJ262" i="2"/>
  <c r="AN261" i="2"/>
  <c r="AM261" i="2"/>
  <c r="AL261" i="2"/>
  <c r="AK261" i="2"/>
  <c r="AJ261" i="2"/>
  <c r="AN260" i="2"/>
  <c r="AM260" i="2"/>
  <c r="AL260" i="2"/>
  <c r="AK260" i="2"/>
  <c r="AJ260" i="2"/>
  <c r="AN259" i="2"/>
  <c r="AM259" i="2"/>
  <c r="AL259" i="2"/>
  <c r="AK259" i="2"/>
  <c r="AJ259" i="2"/>
  <c r="AN258" i="2"/>
  <c r="AM258" i="2"/>
  <c r="AL258" i="2"/>
  <c r="AK258" i="2"/>
  <c r="AJ258" i="2"/>
  <c r="AN257" i="2"/>
  <c r="AM257" i="2"/>
  <c r="AL257" i="2"/>
  <c r="AK257" i="2"/>
  <c r="AJ257" i="2"/>
  <c r="AN256" i="2"/>
  <c r="AM256" i="2"/>
  <c r="AL256" i="2"/>
  <c r="AK256" i="2"/>
  <c r="AJ256" i="2"/>
  <c r="AN255" i="2"/>
  <c r="AM255" i="2"/>
  <c r="AL255" i="2"/>
  <c r="AK255" i="2"/>
  <c r="AJ255" i="2"/>
  <c r="AN254" i="2"/>
  <c r="AM254" i="2"/>
  <c r="AL254" i="2"/>
  <c r="AK254" i="2"/>
  <c r="AJ254" i="2"/>
  <c r="AN253" i="2"/>
  <c r="AM253" i="2"/>
  <c r="AL253" i="2"/>
  <c r="AK253" i="2"/>
  <c r="AJ253" i="2"/>
  <c r="AN252" i="2"/>
  <c r="AM252" i="2"/>
  <c r="AL252" i="2"/>
  <c r="AK252" i="2"/>
  <c r="AJ252" i="2"/>
  <c r="AN251" i="2"/>
  <c r="AM251" i="2"/>
  <c r="AL251" i="2"/>
  <c r="AK251" i="2"/>
  <c r="AJ251" i="2"/>
  <c r="AN250" i="2"/>
  <c r="AM250" i="2"/>
  <c r="AL250" i="2"/>
  <c r="AK250" i="2"/>
  <c r="AJ250" i="2"/>
  <c r="AN249" i="2"/>
  <c r="AM249" i="2"/>
  <c r="AL249" i="2"/>
  <c r="AK249" i="2"/>
  <c r="AJ249" i="2"/>
  <c r="AN248" i="2"/>
  <c r="AM248" i="2"/>
  <c r="AL248" i="2"/>
  <c r="AK248" i="2"/>
  <c r="AJ248" i="2"/>
  <c r="AN247" i="2"/>
  <c r="AM247" i="2"/>
  <c r="AL247" i="2"/>
  <c r="AK247" i="2"/>
  <c r="AJ247" i="2"/>
  <c r="AN246" i="2"/>
  <c r="AM246" i="2"/>
  <c r="AL246" i="2"/>
  <c r="AK246" i="2"/>
  <c r="AJ246" i="2"/>
  <c r="AN245" i="2"/>
  <c r="AM245" i="2"/>
  <c r="AL245" i="2"/>
  <c r="AK245" i="2"/>
  <c r="AJ245" i="2"/>
  <c r="AN244" i="2"/>
  <c r="AM244" i="2"/>
  <c r="AL244" i="2"/>
  <c r="AK244" i="2"/>
  <c r="AJ244" i="2"/>
  <c r="AN243" i="2"/>
  <c r="AM243" i="2"/>
  <c r="AL243" i="2"/>
  <c r="AK243" i="2"/>
  <c r="AJ243" i="2"/>
  <c r="AN242" i="2"/>
  <c r="AM242" i="2"/>
  <c r="AL242" i="2"/>
  <c r="AK242" i="2"/>
  <c r="AJ242" i="2"/>
  <c r="AN241" i="2"/>
  <c r="AM241" i="2"/>
  <c r="AL241" i="2"/>
  <c r="AK241" i="2"/>
  <c r="AJ241" i="2"/>
  <c r="AN240" i="2"/>
  <c r="AM240" i="2"/>
  <c r="AL240" i="2"/>
  <c r="AK240" i="2"/>
  <c r="AJ240" i="2"/>
  <c r="AN239" i="2"/>
  <c r="AM239" i="2"/>
  <c r="AL239" i="2"/>
  <c r="AK239" i="2"/>
  <c r="AJ239" i="2"/>
  <c r="AN238" i="2"/>
  <c r="AM238" i="2"/>
  <c r="AL238" i="2"/>
  <c r="AK238" i="2"/>
  <c r="AJ238" i="2"/>
  <c r="AN237" i="2"/>
  <c r="AM237" i="2"/>
  <c r="AL237" i="2"/>
  <c r="AK237" i="2"/>
  <c r="AJ237" i="2"/>
  <c r="AN236" i="2"/>
  <c r="AM236" i="2"/>
  <c r="AL236" i="2"/>
  <c r="AK236" i="2"/>
  <c r="AJ236" i="2"/>
  <c r="AN235" i="2"/>
  <c r="AM235" i="2"/>
  <c r="AL235" i="2"/>
  <c r="AK235" i="2"/>
  <c r="AJ235" i="2"/>
  <c r="AN234" i="2"/>
  <c r="AM234" i="2"/>
  <c r="AL234" i="2"/>
  <c r="AK234" i="2"/>
  <c r="AJ234" i="2"/>
  <c r="AN233" i="2"/>
  <c r="AM233" i="2"/>
  <c r="AL233" i="2"/>
  <c r="AK233" i="2"/>
  <c r="AJ233" i="2"/>
  <c r="AN232" i="2"/>
  <c r="AM232" i="2"/>
  <c r="AL232" i="2"/>
  <c r="AK232" i="2"/>
  <c r="AJ232" i="2"/>
  <c r="AN231" i="2"/>
  <c r="AM231" i="2"/>
  <c r="AL231" i="2"/>
  <c r="AK231" i="2"/>
  <c r="AJ231" i="2"/>
  <c r="AN230" i="2"/>
  <c r="AM230" i="2"/>
  <c r="AL230" i="2"/>
  <c r="AK230" i="2"/>
  <c r="AJ230" i="2"/>
  <c r="AN229" i="2"/>
  <c r="AM229" i="2"/>
  <c r="AL229" i="2"/>
  <c r="AK229" i="2"/>
  <c r="AJ229" i="2"/>
  <c r="AN228" i="2"/>
  <c r="AM228" i="2"/>
  <c r="AL228" i="2"/>
  <c r="AK228" i="2"/>
  <c r="AJ228" i="2"/>
  <c r="AN227" i="2"/>
  <c r="AM227" i="2"/>
  <c r="AL227" i="2"/>
  <c r="AK227" i="2"/>
  <c r="AJ227" i="2"/>
  <c r="AN226" i="2"/>
  <c r="AM226" i="2"/>
  <c r="AL226" i="2"/>
  <c r="AK226" i="2"/>
  <c r="AJ226" i="2"/>
  <c r="AN225" i="2"/>
  <c r="AM225" i="2"/>
  <c r="AL225" i="2"/>
  <c r="AK225" i="2"/>
  <c r="AJ225" i="2"/>
  <c r="AN224" i="2"/>
  <c r="AM224" i="2"/>
  <c r="AL224" i="2"/>
  <c r="AK224" i="2"/>
  <c r="AJ224" i="2"/>
  <c r="AN223" i="2"/>
  <c r="AM223" i="2"/>
  <c r="AL223" i="2"/>
  <c r="AK223" i="2"/>
  <c r="AJ223" i="2"/>
  <c r="AN222" i="2"/>
  <c r="AM222" i="2"/>
  <c r="AL222" i="2"/>
  <c r="AK222" i="2"/>
  <c r="AJ222" i="2"/>
  <c r="AN221" i="2"/>
  <c r="AM221" i="2"/>
  <c r="AL221" i="2"/>
  <c r="AK221" i="2"/>
  <c r="AJ221" i="2"/>
  <c r="AN220" i="2"/>
  <c r="AM220" i="2"/>
  <c r="AL220" i="2"/>
  <c r="AK220" i="2"/>
  <c r="AJ220" i="2"/>
  <c r="AN219" i="2"/>
  <c r="AM219" i="2"/>
  <c r="AL219" i="2"/>
  <c r="AK219" i="2"/>
  <c r="AJ219" i="2"/>
  <c r="AN218" i="2"/>
  <c r="AM218" i="2"/>
  <c r="AL218" i="2"/>
  <c r="AK218" i="2"/>
  <c r="AJ218" i="2"/>
  <c r="AN217" i="2"/>
  <c r="AM217" i="2"/>
  <c r="AL217" i="2"/>
  <c r="AK217" i="2"/>
  <c r="AJ217" i="2"/>
  <c r="AN216" i="2"/>
  <c r="AM216" i="2"/>
  <c r="AL216" i="2"/>
  <c r="AK216" i="2"/>
  <c r="AJ216" i="2"/>
  <c r="AN215" i="2"/>
  <c r="AM215" i="2"/>
  <c r="AL215" i="2"/>
  <c r="AK215" i="2"/>
  <c r="AJ215" i="2"/>
  <c r="AN214" i="2"/>
  <c r="AM214" i="2"/>
  <c r="AL214" i="2"/>
  <c r="AK214" i="2"/>
  <c r="AJ214" i="2"/>
  <c r="AN213" i="2"/>
  <c r="AM213" i="2"/>
  <c r="AL213" i="2"/>
  <c r="AK213" i="2"/>
  <c r="AJ213" i="2"/>
  <c r="AN212" i="2"/>
  <c r="AM212" i="2"/>
  <c r="AL212" i="2"/>
  <c r="AK212" i="2"/>
  <c r="AJ212" i="2"/>
  <c r="AN211" i="2"/>
  <c r="AM211" i="2"/>
  <c r="AL211" i="2"/>
  <c r="AK211" i="2"/>
  <c r="AJ211" i="2"/>
  <c r="AN210" i="2"/>
  <c r="AM210" i="2"/>
  <c r="AL210" i="2"/>
  <c r="AK210" i="2"/>
  <c r="AJ210" i="2"/>
  <c r="AN209" i="2"/>
  <c r="AM209" i="2"/>
  <c r="AL209" i="2"/>
  <c r="AK209" i="2"/>
  <c r="AJ209" i="2"/>
  <c r="AN208" i="2"/>
  <c r="AM208" i="2"/>
  <c r="AL208" i="2"/>
  <c r="AK208" i="2"/>
  <c r="AJ208" i="2"/>
  <c r="AN207" i="2"/>
  <c r="AM207" i="2"/>
  <c r="AL207" i="2"/>
  <c r="AK207" i="2"/>
  <c r="AJ207" i="2"/>
  <c r="AN206" i="2"/>
  <c r="AM206" i="2"/>
  <c r="AL206" i="2"/>
  <c r="AK206" i="2"/>
  <c r="AJ206" i="2"/>
  <c r="AN205" i="2"/>
  <c r="AM205" i="2"/>
  <c r="AL205" i="2"/>
  <c r="AK205" i="2"/>
  <c r="AJ205" i="2"/>
  <c r="AN204" i="2"/>
  <c r="AM204" i="2"/>
  <c r="AL204" i="2"/>
  <c r="AK204" i="2"/>
  <c r="AJ204" i="2"/>
  <c r="AN203" i="2"/>
  <c r="AM203" i="2"/>
  <c r="AL203" i="2"/>
  <c r="AK203" i="2"/>
  <c r="AJ203" i="2"/>
  <c r="AN202" i="2"/>
  <c r="AM202" i="2"/>
  <c r="AL202" i="2"/>
  <c r="AK202" i="2"/>
  <c r="AJ202" i="2"/>
  <c r="AN201" i="2"/>
  <c r="AM201" i="2"/>
  <c r="AL201" i="2"/>
  <c r="AK201" i="2"/>
  <c r="AJ201" i="2"/>
  <c r="AN200" i="2"/>
  <c r="AM200" i="2"/>
  <c r="AL200" i="2"/>
  <c r="AK200" i="2"/>
  <c r="AJ200" i="2"/>
  <c r="AN199" i="2"/>
  <c r="AM199" i="2"/>
  <c r="AL199" i="2"/>
  <c r="AK199" i="2"/>
  <c r="AJ199" i="2"/>
  <c r="AN198" i="2"/>
  <c r="AM198" i="2"/>
  <c r="AL198" i="2"/>
  <c r="AK198" i="2"/>
  <c r="AJ198" i="2"/>
  <c r="AN197" i="2"/>
  <c r="AM197" i="2"/>
  <c r="AL197" i="2"/>
  <c r="AK197" i="2"/>
  <c r="AJ197" i="2"/>
  <c r="AN196" i="2"/>
  <c r="AM196" i="2"/>
  <c r="AL196" i="2"/>
  <c r="AK196" i="2"/>
  <c r="AJ196" i="2"/>
  <c r="AN195" i="2"/>
  <c r="AM195" i="2"/>
  <c r="AL195" i="2"/>
  <c r="AK195" i="2"/>
  <c r="AJ195" i="2"/>
  <c r="AN194" i="2"/>
  <c r="AM194" i="2"/>
  <c r="AL194" i="2"/>
  <c r="AK194" i="2"/>
  <c r="AJ194" i="2"/>
  <c r="AN193" i="2"/>
  <c r="AM193" i="2"/>
  <c r="AL193" i="2"/>
  <c r="AK193" i="2"/>
  <c r="AJ193" i="2"/>
  <c r="AN192" i="2"/>
  <c r="AM192" i="2"/>
  <c r="AL192" i="2"/>
  <c r="AK192" i="2"/>
  <c r="AJ192" i="2"/>
  <c r="AN191" i="2"/>
  <c r="AM191" i="2"/>
  <c r="AL191" i="2"/>
  <c r="AK191" i="2"/>
  <c r="AJ191" i="2"/>
  <c r="AN190" i="2"/>
  <c r="AM190" i="2"/>
  <c r="AL190" i="2"/>
  <c r="AK190" i="2"/>
  <c r="AJ190" i="2"/>
  <c r="AN189" i="2"/>
  <c r="AM189" i="2"/>
  <c r="AL189" i="2"/>
  <c r="AK189" i="2"/>
  <c r="AJ189" i="2"/>
  <c r="AN188" i="2"/>
  <c r="AM188" i="2"/>
  <c r="AL188" i="2"/>
  <c r="AK188" i="2"/>
  <c r="AJ188" i="2"/>
  <c r="AN187" i="2"/>
  <c r="AM187" i="2"/>
  <c r="AL187" i="2"/>
  <c r="AK187" i="2"/>
  <c r="AJ187" i="2"/>
  <c r="AN186" i="2"/>
  <c r="AM186" i="2"/>
  <c r="AL186" i="2"/>
  <c r="AK186" i="2"/>
  <c r="AJ186" i="2"/>
  <c r="AN185" i="2"/>
  <c r="AM185" i="2"/>
  <c r="AL185" i="2"/>
  <c r="AK185" i="2"/>
  <c r="AJ185" i="2"/>
  <c r="AN184" i="2"/>
  <c r="AM184" i="2"/>
  <c r="AL184" i="2"/>
  <c r="AK184" i="2"/>
  <c r="AJ184" i="2"/>
  <c r="AN183" i="2"/>
  <c r="AM183" i="2"/>
  <c r="AL183" i="2"/>
  <c r="AK183" i="2"/>
  <c r="AJ183" i="2"/>
  <c r="AN182" i="2"/>
  <c r="AM182" i="2"/>
  <c r="AL182" i="2"/>
  <c r="AK182" i="2"/>
  <c r="AJ182" i="2"/>
  <c r="AN181" i="2"/>
  <c r="AM181" i="2"/>
  <c r="AL181" i="2"/>
  <c r="AK181" i="2"/>
  <c r="AJ181" i="2"/>
  <c r="AN180" i="2"/>
  <c r="AM180" i="2"/>
  <c r="AL180" i="2"/>
  <c r="AK180" i="2"/>
  <c r="AJ180" i="2"/>
  <c r="AN179" i="2"/>
  <c r="AM179" i="2"/>
  <c r="AL179" i="2"/>
  <c r="AK179" i="2"/>
  <c r="AJ179" i="2"/>
  <c r="AN178" i="2"/>
  <c r="AM178" i="2"/>
  <c r="AL178" i="2"/>
  <c r="AK178" i="2"/>
  <c r="AJ178" i="2"/>
  <c r="AN177" i="2"/>
  <c r="AM177" i="2"/>
  <c r="AL177" i="2"/>
  <c r="AK177" i="2"/>
  <c r="AJ177" i="2"/>
  <c r="AN176" i="2"/>
  <c r="AM176" i="2"/>
  <c r="AL176" i="2"/>
  <c r="AK176" i="2"/>
  <c r="AJ176" i="2"/>
  <c r="AN175" i="2"/>
  <c r="AM175" i="2"/>
  <c r="AL175" i="2"/>
  <c r="AK175" i="2"/>
  <c r="AJ175" i="2"/>
  <c r="AN174" i="2"/>
  <c r="AM174" i="2"/>
  <c r="AL174" i="2"/>
  <c r="AK174" i="2"/>
  <c r="AJ174" i="2"/>
  <c r="AN173" i="2"/>
  <c r="AM173" i="2"/>
  <c r="AL173" i="2"/>
  <c r="AK173" i="2"/>
  <c r="AJ173" i="2"/>
  <c r="AN172" i="2"/>
  <c r="AM172" i="2"/>
  <c r="AL172" i="2"/>
  <c r="AK172" i="2"/>
  <c r="AJ172" i="2"/>
  <c r="AN171" i="2"/>
  <c r="AM171" i="2"/>
  <c r="AL171" i="2"/>
  <c r="AK171" i="2"/>
  <c r="AJ171" i="2"/>
  <c r="AN170" i="2"/>
  <c r="AM170" i="2"/>
  <c r="AL170" i="2"/>
  <c r="AK170" i="2"/>
  <c r="AJ170" i="2"/>
  <c r="AN169" i="2"/>
  <c r="AM169" i="2"/>
  <c r="AL169" i="2"/>
  <c r="AK169" i="2"/>
  <c r="AJ169" i="2"/>
  <c r="AN168" i="2"/>
  <c r="AM168" i="2"/>
  <c r="AL168" i="2"/>
  <c r="AK168" i="2"/>
  <c r="AJ168" i="2"/>
  <c r="AN167" i="2"/>
  <c r="AM167" i="2"/>
  <c r="AL167" i="2"/>
  <c r="AK167" i="2"/>
  <c r="AJ167" i="2"/>
  <c r="AN166" i="2"/>
  <c r="AM166" i="2"/>
  <c r="AL166" i="2"/>
  <c r="AK166" i="2"/>
  <c r="AJ166" i="2"/>
  <c r="AN165" i="2"/>
  <c r="AM165" i="2"/>
  <c r="AL165" i="2"/>
  <c r="AK165" i="2"/>
  <c r="AJ165" i="2"/>
  <c r="AN164" i="2"/>
  <c r="AM164" i="2"/>
  <c r="AL164" i="2"/>
  <c r="AK164" i="2"/>
  <c r="AJ164" i="2"/>
  <c r="AN163" i="2"/>
  <c r="AM163" i="2"/>
  <c r="AL163" i="2"/>
  <c r="AK163" i="2"/>
  <c r="AJ163" i="2"/>
  <c r="AN162" i="2"/>
  <c r="AM162" i="2"/>
  <c r="AL162" i="2"/>
  <c r="AK162" i="2"/>
  <c r="AJ162" i="2"/>
  <c r="AN161" i="2"/>
  <c r="AM161" i="2"/>
  <c r="AL161" i="2"/>
  <c r="AK161" i="2"/>
  <c r="AJ161" i="2"/>
  <c r="AN160" i="2"/>
  <c r="AM160" i="2"/>
  <c r="AL160" i="2"/>
  <c r="AK160" i="2"/>
  <c r="AJ160" i="2"/>
  <c r="AN159" i="2"/>
  <c r="AM159" i="2"/>
  <c r="AL159" i="2"/>
  <c r="AK159" i="2"/>
  <c r="AJ159" i="2"/>
  <c r="AN158" i="2"/>
  <c r="AM158" i="2"/>
  <c r="AL158" i="2"/>
  <c r="AK158" i="2"/>
  <c r="AJ158" i="2"/>
  <c r="AN157" i="2"/>
  <c r="AM157" i="2"/>
  <c r="AL157" i="2"/>
  <c r="AK157" i="2"/>
  <c r="AJ157" i="2"/>
  <c r="AN156" i="2"/>
  <c r="AM156" i="2"/>
  <c r="AL156" i="2"/>
  <c r="AK156" i="2"/>
  <c r="AJ156" i="2"/>
  <c r="AN155" i="2"/>
  <c r="AM155" i="2"/>
  <c r="AL155" i="2"/>
  <c r="AK155" i="2"/>
  <c r="AJ155" i="2"/>
  <c r="AN154" i="2"/>
  <c r="AM154" i="2"/>
  <c r="AL154" i="2"/>
  <c r="AK154" i="2"/>
  <c r="AJ154" i="2"/>
  <c r="AN153" i="2"/>
  <c r="AM153" i="2"/>
  <c r="AL153" i="2"/>
  <c r="AK153" i="2"/>
  <c r="AJ153" i="2"/>
  <c r="AN152" i="2"/>
  <c r="AM152" i="2"/>
  <c r="AL152" i="2"/>
  <c r="AK152" i="2"/>
  <c r="AJ152" i="2"/>
  <c r="AP151" i="2"/>
  <c r="AN151" i="2"/>
  <c r="AM151" i="2"/>
  <c r="AL151" i="2"/>
  <c r="AK151" i="2"/>
  <c r="AJ151" i="2"/>
  <c r="AN150" i="2"/>
  <c r="AM150" i="2"/>
  <c r="AL150" i="2"/>
  <c r="AK150" i="2"/>
  <c r="AJ150" i="2"/>
  <c r="AN149" i="2"/>
  <c r="AM149" i="2"/>
  <c r="AL149" i="2"/>
  <c r="AK149" i="2"/>
  <c r="AJ149" i="2"/>
  <c r="AN148" i="2"/>
  <c r="AM148" i="2"/>
  <c r="AL148" i="2"/>
  <c r="AK148" i="2"/>
  <c r="AJ148" i="2"/>
  <c r="AN147" i="2"/>
  <c r="AM147" i="2"/>
  <c r="AL147" i="2"/>
  <c r="AK147" i="2"/>
  <c r="AJ147" i="2"/>
  <c r="AN146" i="2"/>
  <c r="AM146" i="2"/>
  <c r="AL146" i="2"/>
  <c r="AK146" i="2"/>
  <c r="AJ146" i="2"/>
  <c r="AN145" i="2"/>
  <c r="AM145" i="2"/>
  <c r="AL145" i="2"/>
  <c r="AK145" i="2"/>
  <c r="AJ145" i="2"/>
  <c r="AN144" i="2"/>
  <c r="AM144" i="2"/>
  <c r="AL144" i="2"/>
  <c r="AK144" i="2"/>
  <c r="AJ144" i="2"/>
  <c r="AN143" i="2"/>
  <c r="AM143" i="2"/>
  <c r="AL143" i="2"/>
  <c r="AK143" i="2"/>
  <c r="AJ143" i="2"/>
  <c r="AN142" i="2"/>
  <c r="AM142" i="2"/>
  <c r="AL142" i="2"/>
  <c r="AK142" i="2"/>
  <c r="AJ142" i="2"/>
  <c r="AN141" i="2"/>
  <c r="AM141" i="2"/>
  <c r="AL141" i="2"/>
  <c r="AK141" i="2"/>
  <c r="AJ141" i="2"/>
  <c r="AN140" i="2"/>
  <c r="AM140" i="2"/>
  <c r="AL140" i="2"/>
  <c r="AK140" i="2"/>
  <c r="AJ140" i="2"/>
  <c r="AN139" i="2"/>
  <c r="AM139" i="2"/>
  <c r="AL139" i="2"/>
  <c r="AK139" i="2"/>
  <c r="AJ139" i="2"/>
  <c r="AN138" i="2"/>
  <c r="AM138" i="2"/>
  <c r="AL138" i="2"/>
  <c r="AK138" i="2"/>
  <c r="AJ138" i="2"/>
  <c r="AN137" i="2"/>
  <c r="AM137" i="2"/>
  <c r="AL137" i="2"/>
  <c r="AK137" i="2"/>
  <c r="AJ137" i="2"/>
  <c r="AN136" i="2"/>
  <c r="AM136" i="2"/>
  <c r="AL136" i="2"/>
  <c r="AK136" i="2"/>
  <c r="AJ136" i="2"/>
  <c r="AN135" i="2"/>
  <c r="AM135" i="2"/>
  <c r="AL135" i="2"/>
  <c r="AK135" i="2"/>
  <c r="AJ135" i="2"/>
  <c r="AN134" i="2"/>
  <c r="AM134" i="2"/>
  <c r="AL134" i="2"/>
  <c r="AK134" i="2"/>
  <c r="AJ134" i="2"/>
  <c r="AN133" i="2"/>
  <c r="AM133" i="2"/>
  <c r="AL133" i="2"/>
  <c r="AK133" i="2"/>
  <c r="AJ133" i="2"/>
  <c r="AN132" i="2"/>
  <c r="AM132" i="2"/>
  <c r="AL132" i="2"/>
  <c r="AK132" i="2"/>
  <c r="AJ132" i="2"/>
  <c r="AN131" i="2"/>
  <c r="AM131" i="2"/>
  <c r="AL131" i="2"/>
  <c r="AK131" i="2"/>
  <c r="AJ131" i="2"/>
  <c r="AN130" i="2"/>
  <c r="AM130" i="2"/>
  <c r="AL130" i="2"/>
  <c r="AK130" i="2"/>
  <c r="AJ130" i="2"/>
  <c r="AN129" i="2"/>
  <c r="AM129" i="2"/>
  <c r="AL129" i="2"/>
  <c r="AK129" i="2"/>
  <c r="AJ129" i="2"/>
  <c r="AN128" i="2"/>
  <c r="AM128" i="2"/>
  <c r="AL128" i="2"/>
  <c r="AK128" i="2"/>
  <c r="AJ128" i="2"/>
  <c r="AN127" i="2"/>
  <c r="AM127" i="2"/>
  <c r="AL127" i="2"/>
  <c r="AK127" i="2"/>
  <c r="AJ127" i="2"/>
  <c r="AN126" i="2"/>
  <c r="AM126" i="2"/>
  <c r="AL126" i="2"/>
  <c r="AK126" i="2"/>
  <c r="AJ126" i="2"/>
  <c r="AN125" i="2"/>
  <c r="AM125" i="2"/>
  <c r="AL125" i="2"/>
  <c r="AK125" i="2"/>
  <c r="AJ125" i="2"/>
  <c r="AN124" i="2"/>
  <c r="AM124" i="2"/>
  <c r="AL124" i="2"/>
  <c r="AK124" i="2"/>
  <c r="AJ124" i="2"/>
  <c r="AN123" i="2"/>
  <c r="AM123" i="2"/>
  <c r="AL123" i="2"/>
  <c r="AK123" i="2"/>
  <c r="AJ123" i="2"/>
  <c r="AN122" i="2"/>
  <c r="AM122" i="2"/>
  <c r="AL122" i="2"/>
  <c r="AK122" i="2"/>
  <c r="AJ122" i="2"/>
  <c r="AN121" i="2"/>
  <c r="AM121" i="2"/>
  <c r="AL121" i="2"/>
  <c r="AK121" i="2"/>
  <c r="AJ121" i="2"/>
  <c r="AN120" i="2"/>
  <c r="AM120" i="2"/>
  <c r="AL120" i="2"/>
  <c r="AK120" i="2"/>
  <c r="AJ120" i="2"/>
  <c r="AN119" i="2"/>
  <c r="AM119" i="2"/>
  <c r="AL119" i="2"/>
  <c r="AK119" i="2"/>
  <c r="AJ119" i="2"/>
  <c r="AN118" i="2"/>
  <c r="AM118" i="2"/>
  <c r="AL118" i="2"/>
  <c r="AK118" i="2"/>
  <c r="AJ118" i="2"/>
  <c r="AN117" i="2"/>
  <c r="AM117" i="2"/>
  <c r="AL117" i="2"/>
  <c r="AK117" i="2"/>
  <c r="AJ117" i="2"/>
  <c r="AN116" i="2"/>
  <c r="AM116" i="2"/>
  <c r="AL116" i="2"/>
  <c r="AK116" i="2"/>
  <c r="AJ116" i="2"/>
  <c r="AN115" i="2"/>
  <c r="AM115" i="2"/>
  <c r="AL115" i="2"/>
  <c r="AK115" i="2"/>
  <c r="AJ115" i="2"/>
  <c r="AN114" i="2"/>
  <c r="AM114" i="2"/>
  <c r="AL114" i="2"/>
  <c r="AK114" i="2"/>
  <c r="AJ114" i="2"/>
  <c r="AN113" i="2"/>
  <c r="AM113" i="2"/>
  <c r="AL113" i="2"/>
  <c r="AK113" i="2"/>
  <c r="AJ113" i="2"/>
  <c r="AN112" i="2"/>
  <c r="AM112" i="2"/>
  <c r="AL112" i="2"/>
  <c r="AK112" i="2"/>
  <c r="AJ112" i="2"/>
  <c r="AN111" i="2"/>
  <c r="AM111" i="2"/>
  <c r="AL111" i="2"/>
  <c r="AK111" i="2"/>
  <c r="AJ111" i="2"/>
  <c r="AN110" i="2"/>
  <c r="AM110" i="2"/>
  <c r="AL110" i="2"/>
  <c r="AK110" i="2"/>
  <c r="AJ110" i="2"/>
  <c r="AN109" i="2"/>
  <c r="AM109" i="2"/>
  <c r="AL109" i="2"/>
  <c r="AK109" i="2"/>
  <c r="AJ109" i="2"/>
  <c r="AN108" i="2"/>
  <c r="AM108" i="2"/>
  <c r="AL108" i="2"/>
  <c r="AK108" i="2"/>
  <c r="AJ108" i="2"/>
  <c r="AN107" i="2"/>
  <c r="AM107" i="2"/>
  <c r="AL107" i="2"/>
  <c r="AK107" i="2"/>
  <c r="AJ107" i="2"/>
  <c r="AN106" i="2"/>
  <c r="AM106" i="2"/>
  <c r="AL106" i="2"/>
  <c r="AK106" i="2"/>
  <c r="AJ106" i="2"/>
  <c r="AN105" i="2"/>
  <c r="AM105" i="2"/>
  <c r="AL105" i="2"/>
  <c r="AK105" i="2"/>
  <c r="AJ105" i="2"/>
  <c r="AN104" i="2"/>
  <c r="AM104" i="2"/>
  <c r="AL104" i="2"/>
  <c r="AK104" i="2"/>
  <c r="AJ104" i="2"/>
  <c r="AN103" i="2"/>
  <c r="AM103" i="2"/>
  <c r="AL103" i="2"/>
  <c r="AK103" i="2"/>
  <c r="AJ103" i="2"/>
  <c r="AN102" i="2"/>
  <c r="AM102" i="2"/>
  <c r="AL102" i="2"/>
  <c r="AK102" i="2"/>
  <c r="AJ102" i="2"/>
  <c r="AN101" i="2"/>
  <c r="AM101" i="2"/>
  <c r="AL101" i="2"/>
  <c r="AK101" i="2"/>
  <c r="AJ101" i="2"/>
  <c r="AN100" i="2"/>
  <c r="AM100" i="2"/>
  <c r="AL100" i="2"/>
  <c r="AK100" i="2"/>
  <c r="AJ100" i="2"/>
  <c r="AN99" i="2"/>
  <c r="AM99" i="2"/>
  <c r="AL99" i="2"/>
  <c r="AK99" i="2"/>
  <c r="AJ99" i="2"/>
  <c r="AN98" i="2"/>
  <c r="AM98" i="2"/>
  <c r="AL98" i="2"/>
  <c r="AK98" i="2"/>
  <c r="AJ98" i="2"/>
  <c r="AN97" i="2"/>
  <c r="AM97" i="2"/>
  <c r="AL97" i="2"/>
  <c r="AK97" i="2"/>
  <c r="AJ97" i="2"/>
  <c r="AN96" i="2"/>
  <c r="AM96" i="2"/>
  <c r="AL96" i="2"/>
  <c r="AK96" i="2"/>
  <c r="AJ96" i="2"/>
  <c r="AN95" i="2"/>
  <c r="AM95" i="2"/>
  <c r="AL95" i="2"/>
  <c r="AK95" i="2"/>
  <c r="AJ95" i="2"/>
  <c r="AN94" i="2"/>
  <c r="AM94" i="2"/>
  <c r="AL94" i="2"/>
  <c r="AK94" i="2"/>
  <c r="AJ94" i="2"/>
  <c r="AN93" i="2"/>
  <c r="AM93" i="2"/>
  <c r="AL93" i="2"/>
  <c r="AK93" i="2"/>
  <c r="AJ93" i="2"/>
  <c r="AN92" i="2"/>
  <c r="AM92" i="2"/>
  <c r="AL92" i="2"/>
  <c r="AK92" i="2"/>
  <c r="AJ92" i="2"/>
  <c r="AN91" i="2"/>
  <c r="AM91" i="2"/>
  <c r="AL91" i="2"/>
  <c r="AK91" i="2"/>
  <c r="AJ91" i="2"/>
  <c r="AN90" i="2"/>
  <c r="AM90" i="2"/>
  <c r="AL90" i="2"/>
  <c r="AK90" i="2"/>
  <c r="AJ90" i="2"/>
  <c r="AN89" i="2"/>
  <c r="AM89" i="2"/>
  <c r="AL89" i="2"/>
  <c r="AK89" i="2"/>
  <c r="AJ89" i="2"/>
  <c r="AN88" i="2"/>
  <c r="AM88" i="2"/>
  <c r="AL88" i="2"/>
  <c r="AK88" i="2"/>
  <c r="AJ88" i="2"/>
  <c r="AN87" i="2"/>
  <c r="AM87" i="2"/>
  <c r="AL87" i="2"/>
  <c r="AK87" i="2"/>
  <c r="AJ87" i="2"/>
  <c r="AN86" i="2"/>
  <c r="AM86" i="2"/>
  <c r="AL86" i="2"/>
  <c r="AK86" i="2"/>
  <c r="AJ86" i="2"/>
  <c r="AN85" i="2"/>
  <c r="AM85" i="2"/>
  <c r="AL85" i="2"/>
  <c r="AK85" i="2"/>
  <c r="AJ85" i="2"/>
  <c r="AN84" i="2"/>
  <c r="AM84" i="2"/>
  <c r="AL84" i="2"/>
  <c r="AK84" i="2"/>
  <c r="AJ84" i="2"/>
  <c r="AN83" i="2"/>
  <c r="AM83" i="2"/>
  <c r="AL83" i="2"/>
  <c r="AK83" i="2"/>
  <c r="AJ83" i="2"/>
  <c r="AN82" i="2"/>
  <c r="AM82" i="2"/>
  <c r="AL82" i="2"/>
  <c r="AK82" i="2"/>
  <c r="AJ82" i="2"/>
  <c r="AN81" i="2"/>
  <c r="AM81" i="2"/>
  <c r="AL81" i="2"/>
  <c r="AK81" i="2"/>
  <c r="AJ81" i="2"/>
  <c r="AN80" i="2"/>
  <c r="AM80" i="2"/>
  <c r="AL80" i="2"/>
  <c r="AK80" i="2"/>
  <c r="AJ80" i="2"/>
  <c r="AN79" i="2"/>
  <c r="AM79" i="2"/>
  <c r="AL79" i="2"/>
  <c r="AK79" i="2"/>
  <c r="AJ79" i="2"/>
  <c r="AN78" i="2"/>
  <c r="AM78" i="2"/>
  <c r="AL78" i="2"/>
  <c r="AK78" i="2"/>
  <c r="AJ78" i="2"/>
  <c r="AN77" i="2"/>
  <c r="AM77" i="2"/>
  <c r="AL77" i="2"/>
  <c r="AK77" i="2"/>
  <c r="AJ77" i="2"/>
  <c r="AN76" i="2"/>
  <c r="AM76" i="2"/>
  <c r="AL76" i="2"/>
  <c r="AK76" i="2"/>
  <c r="AJ76" i="2"/>
  <c r="AN75" i="2"/>
  <c r="AM75" i="2"/>
  <c r="AL75" i="2"/>
  <c r="AK75" i="2"/>
  <c r="AJ75" i="2"/>
  <c r="AN74" i="2"/>
  <c r="AM74" i="2"/>
  <c r="AL74" i="2"/>
  <c r="AK74" i="2"/>
  <c r="AJ74" i="2"/>
  <c r="AN73" i="2"/>
  <c r="AM73" i="2"/>
  <c r="AL73" i="2"/>
  <c r="AK73" i="2"/>
  <c r="AJ73" i="2"/>
  <c r="AN72" i="2"/>
  <c r="AM72" i="2"/>
  <c r="AL72" i="2"/>
  <c r="AK72" i="2"/>
  <c r="AJ72" i="2"/>
  <c r="AN71" i="2"/>
  <c r="AM71" i="2"/>
  <c r="AL71" i="2"/>
  <c r="AK71" i="2"/>
  <c r="AJ71" i="2"/>
  <c r="AN70" i="2"/>
  <c r="AM70" i="2"/>
  <c r="AL70" i="2"/>
  <c r="AK70" i="2"/>
  <c r="AJ70" i="2"/>
  <c r="AN69" i="2"/>
  <c r="AM69" i="2"/>
  <c r="AL69" i="2"/>
  <c r="AK69" i="2"/>
  <c r="AJ69" i="2"/>
  <c r="AN68" i="2"/>
  <c r="AM68" i="2"/>
  <c r="AL68" i="2"/>
  <c r="AK68" i="2"/>
  <c r="AJ68" i="2"/>
  <c r="AN67" i="2"/>
  <c r="AM67" i="2"/>
  <c r="AL67" i="2"/>
  <c r="AK67" i="2"/>
  <c r="AJ67" i="2"/>
  <c r="AN66" i="2"/>
  <c r="AM66" i="2"/>
  <c r="AL66" i="2"/>
  <c r="AK66" i="2"/>
  <c r="AJ66" i="2"/>
  <c r="AN65" i="2"/>
  <c r="AM65" i="2"/>
  <c r="AL65" i="2"/>
  <c r="AK65" i="2"/>
  <c r="AJ65" i="2"/>
  <c r="AN64" i="2"/>
  <c r="AM64" i="2"/>
  <c r="AL64" i="2"/>
  <c r="AK64" i="2"/>
  <c r="AJ64" i="2"/>
  <c r="AN63" i="2"/>
  <c r="AM63" i="2"/>
  <c r="AL63" i="2"/>
  <c r="AK63" i="2"/>
  <c r="AJ63" i="2"/>
  <c r="AN62" i="2"/>
  <c r="AM62" i="2"/>
  <c r="AL62" i="2"/>
  <c r="AK62" i="2"/>
  <c r="AJ62" i="2"/>
  <c r="AN61" i="2"/>
  <c r="AM61" i="2"/>
  <c r="AL61" i="2"/>
  <c r="AK61" i="2"/>
  <c r="AJ61" i="2"/>
  <c r="AN60" i="2"/>
  <c r="AM60" i="2"/>
  <c r="AL60" i="2"/>
  <c r="AK60" i="2"/>
  <c r="AJ60" i="2"/>
  <c r="AN59" i="2"/>
  <c r="AM59" i="2"/>
  <c r="AL59" i="2"/>
  <c r="AK59" i="2"/>
  <c r="AJ59" i="2"/>
  <c r="AN58" i="2"/>
  <c r="AM58" i="2"/>
  <c r="AL58" i="2"/>
  <c r="AK58" i="2"/>
  <c r="AJ58" i="2"/>
  <c r="AN57" i="2"/>
  <c r="AM57" i="2"/>
  <c r="AL57" i="2"/>
  <c r="AK57" i="2"/>
  <c r="AJ57" i="2"/>
  <c r="AN56" i="2"/>
  <c r="AM56" i="2"/>
  <c r="AL56" i="2"/>
  <c r="AK56" i="2"/>
  <c r="AJ56" i="2"/>
  <c r="AN55" i="2"/>
  <c r="AM55" i="2"/>
  <c r="AL55" i="2"/>
  <c r="AK55" i="2"/>
  <c r="AJ55" i="2"/>
  <c r="AN54" i="2"/>
  <c r="AM54" i="2"/>
  <c r="AL54" i="2"/>
  <c r="AK54" i="2"/>
  <c r="AJ54" i="2"/>
  <c r="AN53" i="2"/>
  <c r="AM53" i="2"/>
  <c r="AL53" i="2"/>
  <c r="AK53" i="2"/>
  <c r="AJ53" i="2"/>
  <c r="AN52" i="2"/>
  <c r="AM52" i="2"/>
  <c r="AL52" i="2"/>
  <c r="AK52" i="2"/>
  <c r="AJ52" i="2"/>
  <c r="AN51" i="2"/>
  <c r="AM51" i="2"/>
  <c r="AL51" i="2"/>
  <c r="AK51" i="2"/>
  <c r="AJ51" i="2"/>
  <c r="AN50" i="2"/>
  <c r="AM50" i="2"/>
  <c r="AL50" i="2"/>
  <c r="AK50" i="2"/>
  <c r="AJ50" i="2"/>
  <c r="AN49" i="2"/>
  <c r="AM49" i="2"/>
  <c r="AL49" i="2"/>
  <c r="AK49" i="2"/>
  <c r="AJ49" i="2"/>
  <c r="AN48" i="2"/>
  <c r="AM48" i="2"/>
  <c r="AL48" i="2"/>
  <c r="AK48" i="2"/>
  <c r="AJ48" i="2"/>
  <c r="AN47" i="2"/>
  <c r="AM47" i="2"/>
  <c r="AL47" i="2"/>
  <c r="AK47" i="2"/>
  <c r="AJ47" i="2"/>
  <c r="AN46" i="2"/>
  <c r="AM46" i="2"/>
  <c r="AL46" i="2"/>
  <c r="AK46" i="2"/>
  <c r="AJ46" i="2"/>
  <c r="AN45" i="2"/>
  <c r="AM45" i="2"/>
  <c r="AL45" i="2"/>
  <c r="AK45" i="2"/>
  <c r="AJ45" i="2"/>
  <c r="AN44" i="2"/>
  <c r="AM44" i="2"/>
  <c r="AL44" i="2"/>
  <c r="AK44" i="2"/>
  <c r="AJ44" i="2"/>
  <c r="AN43" i="2"/>
  <c r="AM43" i="2"/>
  <c r="AL43" i="2"/>
  <c r="AK43" i="2"/>
  <c r="AJ43" i="2"/>
  <c r="AN42" i="2"/>
  <c r="AM42" i="2"/>
  <c r="AL42" i="2"/>
  <c r="AK42" i="2"/>
  <c r="AJ42" i="2"/>
  <c r="AN41" i="2"/>
  <c r="AM41" i="2"/>
  <c r="AL41" i="2"/>
  <c r="AK41" i="2"/>
  <c r="AJ41" i="2"/>
  <c r="AN40" i="2"/>
  <c r="AM40" i="2"/>
  <c r="AL40" i="2"/>
  <c r="AK40" i="2"/>
  <c r="AJ40" i="2"/>
  <c r="AN39" i="2"/>
  <c r="AM39" i="2"/>
  <c r="AL39" i="2"/>
  <c r="AK39" i="2"/>
  <c r="AJ39" i="2"/>
  <c r="AN38" i="2"/>
  <c r="AM38" i="2"/>
  <c r="AL38" i="2"/>
  <c r="AK38" i="2"/>
  <c r="AJ38" i="2"/>
  <c r="AN37" i="2"/>
  <c r="AM37" i="2"/>
  <c r="AL37" i="2"/>
  <c r="AK37" i="2"/>
  <c r="AJ37" i="2"/>
  <c r="J37" i="2"/>
  <c r="I37" i="2"/>
  <c r="K37" i="2" s="1"/>
  <c r="AN36" i="2"/>
  <c r="AM36" i="2"/>
  <c r="AL36" i="2"/>
  <c r="AK36" i="2"/>
  <c r="AJ36" i="2"/>
  <c r="J36" i="2"/>
  <c r="I36" i="2"/>
  <c r="K36" i="2" s="1"/>
  <c r="AN35" i="2"/>
  <c r="AM35" i="2"/>
  <c r="AL35" i="2"/>
  <c r="AK35" i="2"/>
  <c r="AJ35" i="2"/>
  <c r="J35" i="2"/>
  <c r="I35" i="2"/>
  <c r="K35" i="2" s="1"/>
  <c r="AN34" i="2"/>
  <c r="AM34" i="2"/>
  <c r="AL34" i="2"/>
  <c r="AK34" i="2"/>
  <c r="AJ34" i="2"/>
  <c r="J34" i="2"/>
  <c r="I34" i="2"/>
  <c r="K34" i="2" s="1"/>
  <c r="AN33" i="2"/>
  <c r="AM33" i="2"/>
  <c r="AL33" i="2"/>
  <c r="AK33" i="2"/>
  <c r="AJ33" i="2"/>
  <c r="K33" i="2"/>
  <c r="J33" i="2"/>
  <c r="H33" i="2"/>
  <c r="G33" i="2"/>
  <c r="AN32" i="2"/>
  <c r="AK32" i="2"/>
  <c r="AJ32" i="2"/>
  <c r="J32" i="2"/>
  <c r="I32" i="2"/>
  <c r="K32" i="2" s="1"/>
  <c r="AN31" i="2"/>
  <c r="AK31" i="2"/>
  <c r="AJ31" i="2"/>
  <c r="J31" i="2"/>
  <c r="I31" i="2"/>
  <c r="K31" i="2" s="1"/>
  <c r="AN30" i="2"/>
  <c r="AM30" i="2"/>
  <c r="AL30" i="2"/>
  <c r="AK30" i="2"/>
  <c r="AJ30" i="2"/>
  <c r="J30" i="2"/>
  <c r="I30" i="2"/>
  <c r="K30" i="2" s="1"/>
  <c r="AN29" i="2"/>
  <c r="AM29" i="2"/>
  <c r="AL29" i="2"/>
  <c r="AK29" i="2"/>
  <c r="AJ29" i="2"/>
  <c r="J29" i="2"/>
  <c r="I29" i="2"/>
  <c r="K29" i="2" s="1"/>
  <c r="AN28" i="2"/>
  <c r="AM28" i="2"/>
  <c r="AL28" i="2"/>
  <c r="AK28" i="2"/>
  <c r="AJ28" i="2"/>
  <c r="J28" i="2"/>
  <c r="I28" i="2"/>
  <c r="K28" i="2" s="1"/>
  <c r="AN27" i="2"/>
  <c r="AM27" i="2"/>
  <c r="AL27" i="2"/>
  <c r="AK27" i="2"/>
  <c r="AJ27" i="2"/>
  <c r="J27" i="2"/>
  <c r="I27" i="2"/>
  <c r="K27" i="2" s="1"/>
  <c r="AN26" i="2"/>
  <c r="AM26" i="2"/>
  <c r="AL26" i="2"/>
  <c r="AK26" i="2"/>
  <c r="AJ26" i="2"/>
  <c r="J26" i="2"/>
  <c r="I26" i="2"/>
  <c r="K26" i="2" s="1"/>
  <c r="AN25" i="2"/>
  <c r="AM25" i="2"/>
  <c r="AL25" i="2"/>
  <c r="AK25" i="2"/>
  <c r="AJ25" i="2"/>
  <c r="K25" i="2"/>
  <c r="J25" i="2"/>
  <c r="H25" i="2"/>
  <c r="G25" i="2"/>
  <c r="AN24" i="2"/>
  <c r="AM24" i="2"/>
  <c r="AL24" i="2"/>
  <c r="AK24" i="2"/>
  <c r="AJ24" i="2"/>
  <c r="J24" i="2"/>
  <c r="I24" i="2"/>
  <c r="K24" i="2" s="1"/>
  <c r="AN23" i="2"/>
  <c r="AM23" i="2"/>
  <c r="AL23" i="2"/>
  <c r="AK23" i="2"/>
  <c r="AJ23" i="2"/>
  <c r="J23" i="2"/>
  <c r="I23" i="2"/>
  <c r="K23" i="2" s="1"/>
  <c r="J22" i="2"/>
  <c r="I22" i="2"/>
  <c r="K22" i="2" s="1"/>
  <c r="J21" i="2"/>
  <c r="I21" i="2"/>
  <c r="K21" i="2" s="1"/>
  <c r="J20" i="2"/>
  <c r="I20" i="2"/>
  <c r="K20" i="2" s="1"/>
  <c r="J19" i="2"/>
  <c r="I19" i="2"/>
  <c r="K19" i="2" s="1"/>
  <c r="J18" i="2"/>
  <c r="I18" i="2"/>
  <c r="K18" i="2" s="1"/>
  <c r="J17" i="2"/>
  <c r="I17" i="2"/>
  <c r="K17" i="2" s="1"/>
  <c r="AN16" i="2"/>
  <c r="AM16" i="2"/>
  <c r="AL16" i="2"/>
  <c r="AK16" i="2"/>
  <c r="AJ16" i="2"/>
  <c r="K16" i="2"/>
  <c r="J16" i="2"/>
  <c r="H16" i="2"/>
  <c r="G16" i="2"/>
  <c r="AN15" i="2"/>
  <c r="AM15" i="2"/>
  <c r="AL15" i="2"/>
  <c r="AK15" i="2"/>
  <c r="AJ15" i="2"/>
  <c r="J15" i="2"/>
  <c r="I15" i="2"/>
  <c r="K15" i="2" s="1"/>
  <c r="AN14" i="2"/>
  <c r="AM14" i="2"/>
  <c r="AL14" i="2"/>
  <c r="AK14" i="2"/>
  <c r="AJ14" i="2"/>
  <c r="J14" i="2"/>
  <c r="I14" i="2"/>
  <c r="K14" i="2" s="1"/>
  <c r="AN13" i="2"/>
  <c r="AM13" i="2"/>
  <c r="AL13" i="2"/>
  <c r="AK13" i="2"/>
  <c r="AJ13" i="2"/>
  <c r="J13" i="2"/>
  <c r="I13" i="2"/>
  <c r="K13" i="2" s="1"/>
  <c r="AN12" i="2"/>
  <c r="AM12" i="2"/>
  <c r="AL12" i="2"/>
  <c r="AK12" i="2"/>
  <c r="AJ12" i="2"/>
  <c r="J12" i="2"/>
  <c r="I12" i="2"/>
  <c r="K12" i="2" s="1"/>
  <c r="AN11" i="2"/>
  <c r="AM11" i="2"/>
  <c r="AL11" i="2"/>
  <c r="AK11" i="2"/>
  <c r="AJ11" i="2"/>
  <c r="J11" i="2"/>
  <c r="I11" i="2"/>
  <c r="K11" i="2" s="1"/>
  <c r="AN10" i="2"/>
  <c r="AM10" i="2"/>
  <c r="AL10" i="2"/>
  <c r="AK10" i="2"/>
  <c r="AJ10" i="2"/>
  <c r="J10" i="2"/>
  <c r="I10" i="2"/>
  <c r="K10" i="2" s="1"/>
  <c r="AN9" i="2"/>
  <c r="AM9" i="2"/>
  <c r="AL9" i="2"/>
  <c r="AK9" i="2"/>
  <c r="AJ9" i="2"/>
  <c r="K9" i="2"/>
  <c r="J9" i="2"/>
  <c r="H9" i="2"/>
  <c r="G9" i="2"/>
  <c r="AN8" i="2"/>
  <c r="AM8" i="2"/>
  <c r="AL8" i="2"/>
  <c r="AK8" i="2"/>
  <c r="AJ8" i="2"/>
  <c r="AN7" i="2"/>
  <c r="AM7" i="2"/>
  <c r="AL7" i="2"/>
  <c r="AK7" i="2"/>
  <c r="AJ7" i="2"/>
  <c r="AN6" i="2"/>
  <c r="AM6" i="2"/>
  <c r="AL6" i="2"/>
  <c r="AK6" i="2"/>
  <c r="AJ6" i="2"/>
  <c r="AN5" i="2"/>
  <c r="AM5" i="2"/>
  <c r="AL5" i="2"/>
  <c r="AK5" i="2"/>
  <c r="AJ5" i="2"/>
  <c r="AN4" i="2"/>
  <c r="AM4" i="2"/>
  <c r="AL4" i="2"/>
  <c r="AK4" i="2"/>
  <c r="AJ4" i="2"/>
  <c r="D4" i="2"/>
  <c r="B4" i="2"/>
  <c r="AN3" i="2"/>
  <c r="AM3" i="2"/>
  <c r="AL3" i="2"/>
  <c r="AK3" i="2"/>
  <c r="AJ3" i="2"/>
  <c r="B3" i="2"/>
  <c r="A3" i="2"/>
  <c r="AO2" i="2"/>
  <c r="AN2" i="2"/>
  <c r="AM2" i="2"/>
  <c r="AL2" i="2"/>
  <c r="AK2" i="2"/>
  <c r="AJ2" i="2"/>
  <c r="AI2" i="2"/>
  <c r="AH2" i="2"/>
  <c r="AG2" i="2"/>
  <c r="AF2" i="2"/>
  <c r="AE2" i="2"/>
  <c r="AD2" i="2"/>
  <c r="AC2" i="2"/>
  <c r="AB2" i="2"/>
  <c r="AA2" i="2"/>
  <c r="Z2" i="2"/>
  <c r="O2" i="2"/>
  <c r="N2" i="2"/>
  <c r="A1" i="1"/>
  <c r="A1" i="3" l="1"/>
  <c r="A1" i="2"/>
  <c r="J38" i="2"/>
  <c r="K39" i="2"/>
  <c r="F38" i="2" s="1"/>
  <c r="K38" i="2"/>
  <c r="J29" i="3"/>
  <c r="K30" i="3"/>
  <c r="F29" i="3" s="1"/>
  <c r="F30" i="3" s="1"/>
  <c r="C14" i="1" s="1"/>
  <c r="K29" i="3"/>
  <c r="F39" i="2" l="1"/>
  <c r="AM31" i="2"/>
  <c r="AL31" i="2"/>
  <c r="AM32" i="2" l="1"/>
  <c r="AL32" i="2"/>
  <c r="C13" i="1"/>
  <c r="C16" i="1" l="1"/>
  <c r="C15" i="1"/>
</calcChain>
</file>

<file path=xl/sharedStrings.xml><?xml version="1.0" encoding="utf-8"?>
<sst xmlns="http://schemas.openxmlformats.org/spreadsheetml/2006/main" count="235" uniqueCount="197">
  <si>
    <t>Name Verfasser, Verfasserin</t>
  </si>
  <si>
    <t>Verf. Vorname</t>
  </si>
  <si>
    <t>Verf. Nachname</t>
  </si>
  <si>
    <t>Titel der CAS-Arbeit</t>
  </si>
  <si>
    <t>Vertraulichkeitsstufe</t>
  </si>
  <si>
    <t>Öffentlich (auch elektronische bereitstellung möglich)
Vertraulich (nur innerhalb der FHNW einsehbar)
Geheim (unter Verschluss im Archiv, nicht einsehbar)</t>
  </si>
  <si>
    <t>Programm und Standort</t>
  </si>
  <si>
    <t>CAS KI für Softwareentwicklung</t>
  </si>
  <si>
    <t>Windisch</t>
  </si>
  <si>
    <t>Name Betreuer/in</t>
  </si>
  <si>
    <t>Vorname</t>
  </si>
  <si>
    <t>Nachname</t>
  </si>
  <si>
    <t>Name Programmleiter/in</t>
  </si>
  <si>
    <t>Samuel</t>
  </si>
  <si>
    <t>Fricker</t>
  </si>
  <si>
    <t>Ort, Datum</t>
  </si>
  <si>
    <t>Note</t>
  </si>
  <si>
    <t>Gewicht</t>
  </si>
  <si>
    <t>schriftliche Arbeit</t>
  </si>
  <si>
    <t>Präsentation</t>
  </si>
  <si>
    <t>Gesamtnote, nicht gerundet</t>
  </si>
  <si>
    <t>Gesamtnote, gerundet auf eine halbe Note</t>
  </si>
  <si>
    <t xml:space="preserve">Gesamtwürdigung der Arbeit (mind. 150 Wörter): Verständnis der Fragestellung, methodisches Vorgehen, Qualität der Literatur und Datenerhebung, Zusammenarbeit mit den Beteiligten, Kommunikation, Arbeitsweise, Einbezug von Feedbacks; Qualität, Nachvollziehbarkeit und Praxistauglichkeit des Ergebnisses, Relevanz des eigenen Beitrags, Zufriedenheit der Auftraggeberschaft; Qualität der Präsentation und Souveränität der Diskussion. </t>
  </si>
  <si>
    <t>Der Betreuer / die Betreuerin bestätigt, dass die Arbeit bezüglich Einhaltung akademischer Standards überprüft wurde.</t>
  </si>
  <si>
    <t>Unterschrift Betreuer/in</t>
  </si>
  <si>
    <t>Unterschrift Programmleiter/in</t>
  </si>
  <si>
    <t>Student 1 FN</t>
  </si>
  <si>
    <t>Student 1 LN</t>
  </si>
  <si>
    <t>Student 2 FN</t>
  </si>
  <si>
    <t>Student 2 LN</t>
  </si>
  <si>
    <t>Student 3 FN</t>
  </si>
  <si>
    <t>Student 3 LN</t>
  </si>
  <si>
    <t>Student 4 FN</t>
  </si>
  <si>
    <t>Student 4 LN</t>
  </si>
  <si>
    <t>Student 5 FN</t>
  </si>
  <si>
    <t>Student 5 LN</t>
  </si>
  <si>
    <t>Student 6 FN</t>
  </si>
  <si>
    <t>Student 6 LN</t>
  </si>
  <si>
    <t>Lecturer FN</t>
  </si>
  <si>
    <t>Lecturer LN</t>
  </si>
  <si>
    <t>Co-Expert FN</t>
  </si>
  <si>
    <t>Co-Expert LN</t>
  </si>
  <si>
    <t>Type</t>
  </si>
  <si>
    <t>Privacy</t>
  </si>
  <si>
    <t>Title</t>
  </si>
  <si>
    <t>Programme</t>
  </si>
  <si>
    <t>Location</t>
  </si>
  <si>
    <t>Company</t>
  </si>
  <si>
    <t>Trait Category</t>
  </si>
  <si>
    <t>Trait</t>
  </si>
  <si>
    <t>Text Rating</t>
  </si>
  <si>
    <t>Number Rating</t>
  </si>
  <si>
    <t>Objective No.</t>
  </si>
  <si>
    <t>Grade written</t>
  </si>
  <si>
    <t>Grade oral</t>
  </si>
  <si>
    <t>Name</t>
  </si>
  <si>
    <t>Bewertungskriterium</t>
  </si>
  <si>
    <t>Exceeds expectations</t>
  </si>
  <si>
    <t>Meets expectations</t>
  </si>
  <si>
    <t>Does not meet expectations</t>
  </si>
  <si>
    <t>Bewertung</t>
  </si>
  <si>
    <t>Bemerkungen</t>
  </si>
  <si>
    <t>Faktor</t>
  </si>
  <si>
    <t>Maximal</t>
  </si>
  <si>
    <t>erreicht</t>
  </si>
  <si>
    <t>korrespondiert mit Objectives …</t>
  </si>
  <si>
    <t>Punkte</t>
  </si>
  <si>
    <t>1. Zielformulierung, Theorie, Methode</t>
  </si>
  <si>
    <t>Ziele, Fragestellung und deren Abgrenzung</t>
  </si>
  <si>
    <t>Ziele bzw. Fragestellungen sind eindeutig, stimmig, vollständig formuliert und klar abgegrenzt</t>
  </si>
  <si>
    <t>Ziele bzw. Fragestellungen sind passend formuliert und weitgehend abgegrenzt</t>
  </si>
  <si>
    <t>Geeignete Ziele bzw. Fragestellungen fehlen teilweise oder sind unklar formuliert bzw. schlecht abgegrenzt</t>
  </si>
  <si>
    <t>Aktualität und Repräsentativität der Quellen (Fachliteratur) aus Wissenschaft und Praxis</t>
  </si>
  <si>
    <t>Die verwendeten Quellen repräsentieren in jeder Hinsicht (qualitativ und quantitativ) den aktuellen Stand der Kenntnisse aus Wissenschaft und Praxis (Fachliteratur)</t>
  </si>
  <si>
    <t>Die verwendeten Quellen sind meistens aktuell und umfassend auf das Thema ausgerichtet. Recht guter Anteil an aktueller Fachliteratur und/oder gute Mischung von Büchern und Zeitschriftenartikeln</t>
  </si>
  <si>
    <t>Die verwendeten Quellen berücksichtigen die aktuelle Fachliteratur quantitativ und/oder qualitativ ungenügend</t>
  </si>
  <si>
    <t>Verknüpfung der Quelleninhalte mit eigenen Gedanken / Kritische Reflexion</t>
  </si>
  <si>
    <t>Die Inhalte der verwendeten Quellen sind sehr gut und häufig mit den eigenen Gedanken verknüpft. Eine kritische Auseinandersetzung findet statt</t>
  </si>
  <si>
    <t>Die Inhalte der verwendeten Quellen sind teilweise mit den eigenen Gedanken verbunden (z.B. in Form von Zusammenfassungen). Eine kritische Auseinandersetzung mit den Quellen dürfte noch umfassender sein</t>
  </si>
  <si>
    <t>Die Quelleninhalte werden  zu wenig reflektiert bzw. ohne ausreichende kritische Auseinandersetzung mit den Inhalten übernommen. Sie wirken dadurch isoliert.</t>
  </si>
  <si>
    <t>Klärung und Verwendung der (Fach)-Begriffe</t>
  </si>
  <si>
    <t>Alle wesentlichen (Fach)-Begriffe sind präzise geklärt und absolut adäquat verwendet</t>
  </si>
  <si>
    <t>Die meisten wesentlichen(Fach-) Begriffe sind geklärt und richtig verwendet</t>
  </si>
  <si>
    <t>Fachbegriffe werden nicht ausreichend diskutiert und bleiben daher z.T. ungeklärt. Die wesentliche Fachterminologie fehlt</t>
  </si>
  <si>
    <t>Passung der Methoden zur Fragestellung</t>
  </si>
  <si>
    <t>Methodische Ansätze sind optimal auf die Fragestellung ausgerichtet</t>
  </si>
  <si>
    <t>Methodische Ansätze passen zur Fragestellung</t>
  </si>
  <si>
    <t>Methodische Ansätze werden der Fragestellung nicht im geforderten Mass gerecht</t>
  </si>
  <si>
    <t xml:space="preserve">2. Vorgehensweise, Analyse, Lösungsentwicklung </t>
  </si>
  <si>
    <t>Ziele - Einbettung der Ziele in Bezug auf Strategie und Unternehmensziele</t>
  </si>
  <si>
    <t>Wurde sehr gut umgesetzt und hat nur einzelne wenige Verbesserungsmöglichkeiten.</t>
  </si>
  <si>
    <t>Wurde im Wesentlichen gut umgesetzt, kann aber noch verbessert werden.</t>
  </si>
  <si>
    <t>Das Konzept wurde nicht verstanden oder wurde in der Arbeit nicht berücksichtigt oder weggelassen.</t>
  </si>
  <si>
    <t>Auswahl des KI-basierten Ansatzes</t>
  </si>
  <si>
    <t>Integration des KI-basierten Ansatzes in Unternehmenskontext</t>
  </si>
  <si>
    <t>Umsetzung des KI-basierten Ansatzes</t>
  </si>
  <si>
    <t>Validierung der KI-basierten Ansatzes</t>
  </si>
  <si>
    <t>Berücksichtigung von Ethik und Gesetzen</t>
  </si>
  <si>
    <t>Berücksichtigung von Nachhaltigkeit</t>
  </si>
  <si>
    <t xml:space="preserve">3. Zielerreichung, Gehalt der Ergebnisse </t>
  </si>
  <si>
    <t>Beantwortung der Fragestellung und Erreichung der vereinbarten Ziele</t>
  </si>
  <si>
    <t>Die Kernfragestellung wird in ausgezeichneter Weise angegangen und beantwortet. Die vereinbarten Ziele sind übertroffen</t>
  </si>
  <si>
    <t>Die Kernfragestellung wird adressiert und grundsätzlich beantwortet. Die vereinbarten Ziele sind erreicht</t>
  </si>
  <si>
    <t>Die Kernfragestellung wird höchstens knapp genügend beantwortet und die vereinbarten Ziele sind nur teilweise erreicht</t>
  </si>
  <si>
    <t>Qualität der Ergebnisse und Empfehlungen</t>
  </si>
  <si>
    <t>Das Ergebnis ist vollständig, abgerundet und in jeder Hinsicht nachvollziehbar. Sehr treffende Empfehlungen</t>
  </si>
  <si>
    <t>Das Ergebnis ist weitgehend vollständig und in der Regel gut nachvollziehbar. Solide Empfehlungen</t>
  </si>
  <si>
    <t>Dem Ergebnis fehlen  Elemente und/oder es ist nicht immer ausreichend nachvollziehbar. Teilweise unbefriedigende Empfehlungen</t>
  </si>
  <si>
    <t>Klarheit und Signifikanz der eigenen Beiträge</t>
  </si>
  <si>
    <t>Der eigene Beitrag ist signifikant und in der Arbeit permanent erkennbar</t>
  </si>
  <si>
    <t>Der eigene Beitrag ist relevant und gut erkennbar</t>
  </si>
  <si>
    <t>Der eigene Beitrag ist nicht oder kaum erkennbar</t>
  </si>
  <si>
    <t>Transferierbarkeit (Übertragbarkeit) der Ergebnisse auf andere Unternehmen</t>
  </si>
  <si>
    <t>Die Ergebnisse und Empfehlungen sind von allgemeiner Gültigkeit und lassen sich sehr gut und gewinnbringend auf andere Unternehmungen übertragen</t>
  </si>
  <si>
    <t>Die Ergebnisse und Empfehlungen lassen sich zu einem guten Teil auf andere Unternehmungen in ähnlicher oder gleicher Ausgangslage übertragen</t>
  </si>
  <si>
    <t>Die Behandlung der Problemstellung lässt nur eine isolierte Betrachtungsweise zu und ist nicht auf andere Unternehmungen übertragbar</t>
  </si>
  <si>
    <t>Management bzw. Executive Summary</t>
  </si>
  <si>
    <t>Das Executive Summary liefert einer nicht involvierten Fachperson eine prägnante, aussagekräftige und vollständige Information über Ausgangslage, Ziel, Vorgehen und Ergebnisse der Arbeit</t>
  </si>
  <si>
    <t>Das Executive Summary enthält einige wenige Lücken, gibt einer nicht involvierten Fachperson jedoch einen genügenden Überblick über Ausgangslage, Ziel, Vorgehen und Ergebnisse der Arbeit</t>
  </si>
  <si>
    <t>Das Executive Summary ist lückenhaft, bzw. fehlerhaft und liefert einer nicht involvierten Fachperson einen ungenügenden Einblick in Ausgangslage, Ziel, Vorgehen und Ergebnisse der Arbeit.</t>
  </si>
  <si>
    <t>Fazit (Zusammenfassung und Empfehlung)</t>
  </si>
  <si>
    <t>Das Fazit ist vollständig, prägnant und zielführend, und die Empfehlungen sind qualitativ hochstehend und jederzeit passend</t>
  </si>
  <si>
    <t>Das Fazit enthält viele, wenn auch nicht alle Aspekte der Fragestellung, und die Empfehlungen sind gut jedoch nicht immer realistisch</t>
  </si>
  <si>
    <t>Das Fazit ist ungenügend bzw. die Empfehlungen sind mangelhaft oder ungeeignet</t>
  </si>
  <si>
    <t xml:space="preserve">4. Dokumentation, formale Vorgaben </t>
  </si>
  <si>
    <t>Aufbau gemäss Vorgaben (Vollständigkeit und Struktur, Länge, Zitate, Literaturverzeichnis, etc.)</t>
  </si>
  <si>
    <t>Die Arbeit ist ausgezeichnet und nachvollziehbar aufgebaut, enthält alle notwendigen Teile und entspricht den Vorgaben in jeder Hinsicht</t>
  </si>
  <si>
    <t>Die Arbeit ist gut und nachvollziehbar aufgebaut. Es fehlen höchstens Kleinigkeiten, und den Vorgaben wird in der Regel entsprochen</t>
  </si>
  <si>
    <t>Die Arbeit ist mangelhaft und/oder unübersichtlich aufgebaut. Eventuell fehlen notwendige Teile. Vorgaben werden nicht oder in ungenügender Weise eingehalten</t>
  </si>
  <si>
    <t>Grammatik, Orthographie, Schreibstil, Geschlechtsneutralität</t>
  </si>
  <si>
    <t>Der Text ist in jeder verlangten Hinsicht, d.h. grammatikalisch, orthographisch, stilistisch einwandfrei, sowie geschlechterspezifisch korrekt</t>
  </si>
  <si>
    <t>Der Text ist mit wenigen Ausnahmen grammatikalisch, orthographisch und stilistisch korrekt. Die Arbeit ist grundsätzlich verständlich und enthält nur wenige geschlechterspezifischen Fehler</t>
  </si>
  <si>
    <t>Der Text ist mangelhaft redigiert und teilweise nicht gut verständlich. Er enthält  viele grammatikalische, orthographische und/oder stilistische Fehler. Die gendergerechte Sprache wird nicht ausreichend beachtet</t>
  </si>
  <si>
    <t>Erscheinungsbild (Layout, Grafiken, Schriftbild, Umbrüche, Titelseite etc.)</t>
  </si>
  <si>
    <t>Das allgemeine Erscheinungsbild ist in jeder Beziehung attraktiv. Die Darstellungsmittel sind dem Gegenstand jederzeit angemessen (Text, Photo, Grafik)</t>
  </si>
  <si>
    <t>Das allgemeine Erscheinungsbild ist in Ordnung (= lesbar, verständlich, übersichtlich). Die Darstellungsmittel werden in der Regel angemessen eingesetzt (Text, Photo, Grafik)</t>
  </si>
  <si>
    <t>Das allgemeine Erscheinungsbild ist wenig attraktiv (nicht immer lesbar, gelegentlich unverständlich und nicht übersichtlich). Die Darstellungsmittel sind dem Gegenstand nicht angemessen (Text, Photo, Grafik)</t>
  </si>
  <si>
    <t>Schriftliche Kommunikation</t>
  </si>
  <si>
    <t>Notenvorschlag</t>
  </si>
  <si>
    <t>Gesetzte Note (kann überschrieben werden)</t>
  </si>
  <si>
    <t>gewichtet:</t>
  </si>
  <si>
    <t xml:space="preserve">Der Dozent / die Dozentin hat die Arbeit bezüglich Einhaltung akademischer Standards überprüft. </t>
  </si>
  <si>
    <t>Datum der Präsentation</t>
  </si>
  <si>
    <t>1. Auftrittskompetenz</t>
  </si>
  <si>
    <t>Freier Vortrag</t>
  </si>
  <si>
    <t>Der Vortrag wird durchgängig in freier Rede gehalten und wirkt sehr souverän</t>
  </si>
  <si>
    <t>Der Vortrag wird sicher, aber nicht konsequent in freier Rede gehalten (gelegentliches Ablesen)</t>
  </si>
  <si>
    <t>Beim Vortrag wird
mehrheitlich abgelesen</t>
  </si>
  <si>
    <t>Sprache, Sprechtempo
Sprechweise</t>
  </si>
  <si>
    <t>Der Vortrag ist sprachlich ausgezeichnet, jederzeit verständlich und in optimalem Tempo vorgetragen</t>
  </si>
  <si>
    <t>Der Vortrag ist gut und ohne sprachbezogene Schwächen. Er ist sprachlich meistens deutlich und in angepasstem Tempo vorgetragen</t>
  </si>
  <si>
    <t>Der Vortrag enthält sprach-
bezogene Schwächen, es
mangelt an Sicherheit und
Verständlichkeit. Deutlichkeit und korrektes Tempo sind nicht immer gegeben</t>
  </si>
  <si>
    <t>Blickkontakt, Gestik,
Körperhaltung</t>
  </si>
  <si>
    <t>Der Blickkontakt zum Publikum wird permanent hergestellt, die Körperhaltung ist offen und gelöst</t>
  </si>
  <si>
    <t>Der Blickkontakt zum Publikum ist nicht immer vorhanden, die Körperhaltung ist gelegentlich verkrampft</t>
  </si>
  <si>
    <t>Der Blickkontakt zum
Publikum wird vermieden,
die Körperhaltung ist öfters verkrampft</t>
  </si>
  <si>
    <t>Begeisterungsfähigkeit</t>
  </si>
  <si>
    <t>Die Zuhörerschaft ist sehr angetan. Es entstand eine gute Beziehung zum Publikum</t>
  </si>
  <si>
    <t>Die Zuhörerschaft ist zufrieden. Es konnte teilweise eine Beziehung zum Publikum hergestellt werden</t>
  </si>
  <si>
    <t>Die Zuhörerschaft ist enttäuscht. Der Vortragende findet keinen Draht zum Publikum</t>
  </si>
  <si>
    <t>Zeitmanagement</t>
  </si>
  <si>
    <t>Die vorgegebene Vortragszeit wird im vorgegebenen Rahmen (25-30 Minuten) eingehalten</t>
  </si>
  <si>
    <t>Die vorgegebene Vortragszeit wird mit max. 1 Minute unter- oder überschritten (24 resp. 31)</t>
  </si>
  <si>
    <t>Die vorgegebene Vortragszeit wird mit über 1 Minute unter- oder überschritten (unter 24 oder über 31 Minuten)</t>
  </si>
  <si>
    <t>2. Gestaltung und Verwendung der Medien</t>
  </si>
  <si>
    <t xml:space="preserve">Visualisierung </t>
  </si>
  <si>
    <t>Einheitliches Folienlayout mit gutem Farbeinsatz, Textmenge/-information je Folie sehr ausgewogen, Schaubilder und Tabelleneinsatz vorbildlich. Ausgezeichnete Lesbarkeit der Folien. Sehr gute Abstimmung der Darstellungsmittel</t>
  </si>
  <si>
    <t>Einheitliches Folienlayout ok, Farbeinsatz teilweise nicht optimal. Textmenge/-information je Folie und Schaubilder/Tabelleneinsatz grundsätzlich ok. Lesbarkeit in der Regel gegeben. Grundsätzlich gute Abstimmung der Darstellungsmittel</t>
  </si>
  <si>
    <t>Kein einheitliches Folienlayout, u.U. unangemessener Farbeinsatz, Textmenge / -information je Folie ok, Schaubilder und/oder Tabelleneinsatz teilweise mangelhaft.  Eingeschränkte Lesbarkeit und/oder inadäquate Abstimmung der Darstellungsmittel</t>
  </si>
  <si>
    <t>Medieneinsatz und -bedienung</t>
  </si>
  <si>
    <t>Die Medien sind kompetent eingesetzt und sehr gut auf den Inhalt abgestimmt. Die Inhalte sind anschaulich dargestellt. Überzeugender Einsatz von Technik und mehreren Medien. Medienwechsel funktionieren reibungslos</t>
  </si>
  <si>
    <t>Die Medien sind auf den Inhalt abgestimmt und meist passend eingesetzt. Die Inhalte sind in der Regel anschaulich dargestellt. Keine Probleme bei der Bedienung der Technik, ist mit den Funktionen vertraut. Es wird aber nur ein Medium eingesetzt</t>
  </si>
  <si>
    <t>Die Medien sind ungeschickt eingesetzt, die Inhalte werden zu wenig anschaulich vermittelt. Die Technik ist nicht immer im Griff, es gibt Pannen. Es wird nur ein Medium eingesetzt</t>
  </si>
  <si>
    <t>3. Inhalt der Präsentation</t>
  </si>
  <si>
    <t>Gliederung und Struktur</t>
  </si>
  <si>
    <t>Die Präsentation ist durchgehend sehr gut strukturiert und in jeder Hinsicht übersichtlich</t>
  </si>
  <si>
    <t>Die Präsentation ist recht gut strukturiert und weitgehend übersichtlich</t>
  </si>
  <si>
    <t>Die Präsentation ist zu wenig gegliedert und insgesamt unübersichtlich.</t>
  </si>
  <si>
    <t>Vollständigkeit und sachliche Richtigkeit der Inhalte</t>
  </si>
  <si>
    <t>Alle relevanten Inhalte werden mit allen wichtigen Aspekten korrekt dargestellt</t>
  </si>
  <si>
    <t>Die relevanten Inhalte sind fast alle vorhanden und korrekt dargestellt. Evtl. fehlen einige Aspekte</t>
  </si>
  <si>
    <t>Die relevanten Inhalte werden unvollständig oder fehlerhaft dargestellt bzw. es fehlen wichtige Aspekte.</t>
  </si>
  <si>
    <t>Zusammenfassung und Fazit</t>
  </si>
  <si>
    <t>Das Fazit ist vollständig, prägnant und zielführend, die Empfehlungen hochstehend und jederzeit passend</t>
  </si>
  <si>
    <t>Das Fazit enthält nicht alle Aspekte der Fragestellung. Die Empfehlungen sind nicht immer realistisch</t>
  </si>
  <si>
    <t>Das Fazit ist ungenügend und/oder die Empfehlungen sind mangelhaft oder ungeeignet</t>
  </si>
  <si>
    <t>Diskussion, Nach-/ Verständnisfragen</t>
  </si>
  <si>
    <t>Es wird souverän, korrekt und auf die Fragen fokussiert geantwortet. Es ist transparent, dass der Studierende die Materie und die Diskussion sehr gut im Griff hat</t>
  </si>
  <si>
    <t xml:space="preserve">Grundsätzlich ist der Studierende in der Lage, die Fragen gut und kompetent zu beantworten. Es kommt vor, dass ausweichend oder nicht immer korrekt geantwortet wird </t>
  </si>
  <si>
    <t>Es werden Fragen ungenügend oder sogar falsch beantwortet. Es werden nicht alle Fragen verstanden und/oder es bestehen Wissenslücken</t>
  </si>
  <si>
    <t>Ausblick</t>
  </si>
  <si>
    <t>Erste Empfehlungen sind in der Umsetzung oder sind bereits realisiert. Weitere sollen gemäss Planung bald folgen.</t>
  </si>
  <si>
    <t>Konkrete Pläne und Absichten zur Umsetzung der Empfehlungen existieren und werden konkret angegangen</t>
  </si>
  <si>
    <t>Es besteht weder ein Plan noch können Aussagen zur Weiterverwendung der Resultate bzw. zur Befolgung der Empfehlungen gemacht werden</t>
  </si>
  <si>
    <t>Mündliche Kommunikation</t>
  </si>
  <si>
    <t>Errechnete Note</t>
  </si>
  <si>
    <t>Gewichtet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</si>
</sst>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26">
    <font>
      <sz val="11"/>
      <color theme="1"/>
      <name val="Aptos Narrow"/>
      <scheme val="minor"/>
    </font>
    <font>
      <b/>
      <sz val="11"/>
      <color rgb="FFFA7D00"/>
      <name val="Aptos Narrow"/>
      <scheme val="minor"/>
    </font>
    <font>
      <sz val="11"/>
      <color rgb="FF9C5700"/>
      <name val="Aptos Narrow"/>
      <scheme val="minor"/>
    </font>
    <font>
      <b/>
      <sz val="11"/>
      <color rgb="FF3F3F3F"/>
      <name val="Aptos Narrow"/>
      <scheme val="minor"/>
    </font>
    <font>
      <sz val="12"/>
      <color theme="1"/>
      <name val="Arial"/>
    </font>
    <font>
      <sz val="20"/>
      <color theme="1"/>
      <name val="Arial"/>
    </font>
    <font>
      <b/>
      <sz val="22"/>
      <color theme="1"/>
      <name val="Arial"/>
    </font>
    <font>
      <b/>
      <sz val="16"/>
      <color theme="1"/>
      <name val="Arial"/>
    </font>
    <font>
      <b/>
      <sz val="14"/>
      <color theme="1"/>
      <name val="Arial"/>
    </font>
    <font>
      <b/>
      <sz val="18"/>
      <color theme="3"/>
      <name val="Arial"/>
    </font>
    <font>
      <sz val="18"/>
      <color theme="1"/>
      <name val="Arial"/>
    </font>
    <font>
      <b/>
      <sz val="12"/>
      <color theme="1"/>
      <name val="Arial"/>
    </font>
    <font>
      <sz val="16"/>
      <color theme="1"/>
      <name val="Arial"/>
    </font>
    <font>
      <sz val="12"/>
      <color theme="1"/>
      <name val="Aptos Narrow"/>
      <scheme val="minor"/>
    </font>
    <font>
      <sz val="16"/>
      <color theme="1"/>
      <name val="Aptos Narrow"/>
      <scheme val="minor"/>
    </font>
    <font>
      <sz val="11"/>
      <color theme="1"/>
      <name val="Arial"/>
    </font>
    <font>
      <sz val="10"/>
      <color theme="1"/>
      <name val="Arial"/>
    </font>
    <font>
      <b/>
      <sz val="11"/>
      <color rgb="FF3F3F3F"/>
      <name val="Arial"/>
    </font>
    <font>
      <b/>
      <sz val="11"/>
      <color theme="1"/>
      <name val="Arial"/>
    </font>
    <font>
      <b/>
      <sz val="14"/>
      <color theme="0"/>
      <name val="Arial"/>
    </font>
    <font>
      <b/>
      <sz val="11"/>
      <color theme="1"/>
      <name val="Aptos Narrow"/>
      <scheme val="minor"/>
    </font>
    <font>
      <sz val="11"/>
      <color rgb="FF3F3F3F"/>
      <name val="Arial"/>
    </font>
    <font>
      <sz val="14"/>
      <color theme="0"/>
      <name val="Arial"/>
    </font>
    <font>
      <sz val="11"/>
      <name val="Arial"/>
    </font>
    <font>
      <b/>
      <sz val="11"/>
      <color rgb="FF0070C0"/>
      <name val="Arial"/>
    </font>
    <font>
      <sz val="11"/>
      <color theme="1"/>
      <name val="Aptos Narrow"/>
      <scheme val="minor"/>
    </font>
  </fonts>
  <fills count="13">
    <fill>
      <patternFill patternType="none"/>
    </fill>
    <fill>
      <patternFill patternType="gray125"/>
    </fill>
    <fill>
      <patternFill patternType="solid">
        <fgColor theme="4" tint="0.79998168889431442"/>
        <bgColor indexed="65"/>
      </patternFill>
    </fill>
    <fill>
      <patternFill patternType="solid">
        <fgColor theme="4" tint="0.59999389629810485"/>
        <bgColor indexed="65"/>
      </patternFill>
    </fill>
    <fill>
      <patternFill patternType="solid">
        <fgColor theme="9" tint="0.59999389629810485"/>
        <bgColor indexed="65"/>
      </patternFill>
    </fill>
    <fill>
      <patternFill patternType="solid">
        <fgColor rgb="FFF2F2F2"/>
      </patternFill>
    </fill>
    <fill>
      <patternFill patternType="solid">
        <fgColor rgb="FFFFEB9C"/>
      </patternFill>
    </fill>
    <fill>
      <patternFill patternType="solid">
        <fgColor theme="3" tint="0.79998168889431442"/>
        <bgColor indexed="65"/>
      </patternFill>
    </fill>
    <fill>
      <patternFill patternType="solid">
        <fgColor theme="6" tint="0.59999389629810485"/>
        <bgColor indexed="65"/>
      </patternFill>
    </fill>
    <fill>
      <patternFill patternType="solid">
        <fgColor theme="3" tint="-0.249977111117893"/>
        <bgColor indexed="65"/>
      </patternFill>
    </fill>
    <fill>
      <patternFill patternType="solid">
        <fgColor theme="9" tint="0.59999389629810485"/>
        <bgColor indexed="65"/>
      </patternFill>
    </fill>
    <fill>
      <patternFill patternType="solid">
        <fgColor theme="6" tint="0.79998168889431442"/>
        <bgColor indexed="65"/>
      </patternFill>
    </fill>
    <fill>
      <patternFill patternType="solid">
        <fgColor theme="4" tint="0.79998168889431442"/>
        <bgColor indexed="65"/>
      </patternFill>
    </fill>
  </fills>
  <borders count="21">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rgb="FF3F3F3F"/>
      </right>
      <top/>
      <bottom/>
      <diagonal/>
    </border>
    <border>
      <left/>
      <right/>
      <top/>
      <bottom style="thin">
        <color rgb="FFB2B2B2"/>
      </bottom>
      <diagonal/>
    </border>
    <border>
      <left style="thin">
        <color rgb="FF3F3F3F"/>
      </left>
      <right style="thin">
        <color rgb="FF3F3F3F"/>
      </right>
      <top style="medium">
        <color rgb="FF3F3F3F"/>
      </top>
      <bottom style="medium">
        <color rgb="FF3F3F3F"/>
      </bottom>
      <diagonal/>
    </border>
    <border>
      <left style="thin">
        <color rgb="FF3F3F3F"/>
      </left>
      <right style="medium">
        <color rgb="FF3F3F3F"/>
      </right>
      <top style="medium">
        <color rgb="FF3F3F3F"/>
      </top>
      <bottom style="medium">
        <color rgb="FF3F3F3F"/>
      </bottom>
      <diagonal/>
    </border>
    <border>
      <left style="thin">
        <color rgb="FFB2B2B2"/>
      </left>
      <right style="thin">
        <color rgb="FFB2B2B2"/>
      </right>
      <top style="thin">
        <color rgb="FFB2B2B2"/>
      </top>
      <bottom style="thin">
        <color rgb="FFB2B2B2"/>
      </bottom>
      <diagonal/>
    </border>
    <border>
      <left style="thin">
        <color rgb="FF7F7F7F"/>
      </left>
      <right/>
      <top style="thin">
        <color rgb="FF7F7F7F"/>
      </top>
      <bottom style="thin">
        <color rgb="FF7F7F7F"/>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style="thin">
        <color rgb="FF3F3F3F"/>
      </right>
      <top style="thin">
        <color rgb="FF3F3F3F"/>
      </top>
      <bottom style="thin">
        <color rgb="FF3F3F3F"/>
      </bottom>
      <diagonal/>
    </border>
    <border>
      <left style="thin">
        <color theme="0" tint="-0.249977111117893"/>
      </left>
      <right style="thin">
        <color theme="0" tint="-0.249977111117893"/>
      </right>
      <top/>
      <bottom style="thin">
        <color theme="0" tint="-0.249977111117893"/>
      </bottom>
      <diagonal/>
    </border>
    <border>
      <left style="thin">
        <color rgb="FF3F3F3F"/>
      </left>
      <right/>
      <top style="thin">
        <color rgb="FF3F3F3F"/>
      </top>
      <bottom style="thin">
        <color rgb="FF3F3F3F"/>
      </bottom>
      <diagonal/>
    </border>
    <border>
      <left/>
      <right/>
      <top style="thin">
        <color rgb="FFB2B2B2"/>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rgb="FFB2B2B2"/>
      </top>
      <bottom style="thin">
        <color rgb="FFB2B2B2"/>
      </bottom>
      <diagonal/>
    </border>
  </borders>
  <cellStyleXfs count="8">
    <xf numFmtId="0" fontId="0" fillId="0" borderId="0"/>
    <xf numFmtId="0" fontId="25" fillId="2" borderId="0" applyNumberFormat="0" applyBorder="0" applyProtection="0"/>
    <xf numFmtId="0" fontId="25" fillId="3" borderId="0" applyNumberFormat="0" applyBorder="0" applyProtection="0"/>
    <xf numFmtId="0" fontId="25" fillId="4" borderId="0" applyNumberFormat="0" applyBorder="0" applyProtection="0"/>
    <xf numFmtId="0" fontId="1" fillId="5" borderId="1" applyNumberFormat="0" applyProtection="0"/>
    <xf numFmtId="0" fontId="2" fillId="6" borderId="0" applyNumberFormat="0" applyBorder="0" applyProtection="0"/>
    <xf numFmtId="0" fontId="3" fillId="5" borderId="2" applyNumberFormat="0" applyProtection="0"/>
    <xf numFmtId="9" fontId="25" fillId="0" borderId="0" applyFont="0" applyFill="0" applyBorder="0" applyProtection="0"/>
  </cellStyleXfs>
  <cellXfs count="142">
    <xf numFmtId="0" fontId="0" fillId="0" borderId="0" xfId="0"/>
    <xf numFmtId="0" fontId="4" fillId="0" borderId="0" xfId="0" applyFont="1" applyAlignment="1">
      <alignment vertical="center"/>
    </xf>
    <xf numFmtId="0" fontId="4" fillId="0" borderId="0" xfId="0" applyFont="1" applyAlignment="1">
      <alignment horizontal="center" vertical="center"/>
    </xf>
    <xf numFmtId="164" fontId="4" fillId="0" borderId="0" xfId="0" applyNumberFormat="1" applyFont="1" applyAlignment="1">
      <alignment vertical="center"/>
    </xf>
    <xf numFmtId="0" fontId="5" fillId="0" borderId="0" xfId="0" applyFont="1" applyAlignment="1">
      <alignment vertical="center"/>
    </xf>
    <xf numFmtId="0" fontId="7" fillId="2" borderId="3" xfId="1" applyFont="1" applyBorder="1" applyAlignment="1" applyProtection="1">
      <alignment horizontal="left" vertical="center"/>
      <protection locked="0"/>
    </xf>
    <xf numFmtId="0" fontId="7" fillId="3" borderId="3" xfId="2" applyFont="1" applyBorder="1" applyAlignment="1" applyProtection="1">
      <alignment horizontal="left" vertical="center" wrapText="1"/>
      <protection locked="0"/>
    </xf>
    <xf numFmtId="0" fontId="7" fillId="3" borderId="3" xfId="2" applyFont="1" applyBorder="1" applyAlignment="1" applyProtection="1">
      <alignment vertical="center" wrapText="1"/>
      <protection locked="0"/>
    </xf>
    <xf numFmtId="14" fontId="7" fillId="3" borderId="3" xfId="2" applyNumberFormat="1" applyFont="1" applyBorder="1" applyAlignment="1" applyProtection="1">
      <alignment horizontal="left" vertical="center" wrapText="1"/>
      <protection locked="0"/>
    </xf>
    <xf numFmtId="0" fontId="7" fillId="2" borderId="0" xfId="1" applyFont="1" applyAlignment="1" applyProtection="1">
      <alignment vertical="center"/>
    </xf>
    <xf numFmtId="0" fontId="7" fillId="2" borderId="0" xfId="1" applyFont="1" applyAlignment="1" applyProtection="1">
      <alignment horizontal="center" vertical="center"/>
    </xf>
    <xf numFmtId="0" fontId="7" fillId="2" borderId="0" xfId="1" applyFont="1" applyAlignment="1" applyProtection="1">
      <alignment horizontal="right" vertical="center"/>
    </xf>
    <xf numFmtId="0" fontId="7" fillId="2" borderId="0" xfId="1" applyFont="1" applyAlignment="1" applyProtection="1">
      <alignment horizontal="left" vertical="center"/>
    </xf>
    <xf numFmtId="164" fontId="7" fillId="2" borderId="0" xfId="1" applyNumberFormat="1" applyFont="1" applyAlignment="1" applyProtection="1">
      <alignment vertical="center"/>
    </xf>
    <xf numFmtId="9" fontId="7" fillId="2" borderId="0" xfId="1" applyNumberFormat="1" applyFont="1" applyAlignment="1" applyProtection="1">
      <alignment vertical="center"/>
    </xf>
    <xf numFmtId="0" fontId="9" fillId="2" borderId="0" xfId="1" applyFont="1" applyAlignment="1" applyProtection="1">
      <alignment vertical="center"/>
    </xf>
    <xf numFmtId="0" fontId="9" fillId="2" borderId="0" xfId="1" applyFont="1" applyAlignment="1" applyProtection="1">
      <alignment horizontal="left" vertical="center"/>
    </xf>
    <xf numFmtId="2" fontId="9" fillId="2" borderId="0" xfId="1" applyNumberFormat="1" applyFont="1" applyAlignment="1" applyProtection="1">
      <alignment vertical="center"/>
    </xf>
    <xf numFmtId="0" fontId="10" fillId="2" borderId="0" xfId="1" applyFont="1" applyAlignment="1" applyProtection="1">
      <alignment vertical="center"/>
    </xf>
    <xf numFmtId="0" fontId="13" fillId="0" borderId="0" xfId="0" applyFont="1" applyAlignment="1">
      <alignment vertical="center"/>
    </xf>
    <xf numFmtId="0" fontId="14" fillId="0" borderId="0" xfId="0" applyFont="1" applyAlignment="1">
      <alignment vertical="center"/>
    </xf>
    <xf numFmtId="0" fontId="7" fillId="4" borderId="0" xfId="3" applyFont="1" applyAlignment="1" applyProtection="1">
      <alignment vertical="center"/>
    </xf>
    <xf numFmtId="0" fontId="12" fillId="0" borderId="0" xfId="0" applyFont="1" applyAlignment="1">
      <alignment vertical="center"/>
    </xf>
    <xf numFmtId="164" fontId="12" fillId="0" borderId="0" xfId="0" applyNumberFormat="1" applyFont="1" applyAlignment="1">
      <alignment vertical="center"/>
    </xf>
    <xf numFmtId="14" fontId="12" fillId="3" borderId="3" xfId="2" applyNumberFormat="1" applyFont="1" applyBorder="1" applyAlignment="1" applyProtection="1">
      <alignment horizontal="left" vertical="top"/>
      <protection locked="0"/>
    </xf>
    <xf numFmtId="0" fontId="15" fillId="0" borderId="0" xfId="0" applyFont="1" applyAlignment="1">
      <alignment vertical="top"/>
    </xf>
    <xf numFmtId="0" fontId="15" fillId="0" borderId="0" xfId="0" applyFont="1" applyAlignment="1">
      <alignment horizontal="center" vertical="top"/>
    </xf>
    <xf numFmtId="0" fontId="15" fillId="0" borderId="0" xfId="0" applyFont="1" applyAlignment="1">
      <alignment horizontal="left" vertical="top"/>
    </xf>
    <xf numFmtId="0" fontId="15" fillId="0" borderId="0" xfId="0" applyFont="1"/>
    <xf numFmtId="0" fontId="14" fillId="0" borderId="0" xfId="0" applyFont="1"/>
    <xf numFmtId="0" fontId="7" fillId="4" borderId="0" xfId="3" applyFont="1" applyAlignment="1" applyProtection="1">
      <alignment vertical="top"/>
    </xf>
    <xf numFmtId="0" fontId="12" fillId="0" borderId="0" xfId="0" applyFont="1" applyAlignment="1">
      <alignment horizontal="center" vertical="top"/>
    </xf>
    <xf numFmtId="0" fontId="12" fillId="0" borderId="0" xfId="0" applyFont="1" applyAlignment="1">
      <alignment vertical="top"/>
    </xf>
    <xf numFmtId="0" fontId="14" fillId="0" borderId="0" xfId="0" applyFont="1" applyAlignment="1">
      <alignment horizontal="left"/>
    </xf>
    <xf numFmtId="0" fontId="15" fillId="7" borderId="0" xfId="0" applyFont="1" applyFill="1"/>
    <xf numFmtId="0" fontId="25" fillId="4" borderId="0" xfId="3" applyAlignment="1" applyProtection="1">
      <alignment vertical="top"/>
    </xf>
    <xf numFmtId="0" fontId="16" fillId="0" borderId="0" xfId="0" applyFont="1" applyAlignment="1">
      <alignment vertical="top"/>
    </xf>
    <xf numFmtId="0" fontId="0" fillId="0" borderId="0" xfId="0" applyAlignment="1">
      <alignment horizontal="left"/>
    </xf>
    <xf numFmtId="9" fontId="15" fillId="7" borderId="0" xfId="0" applyNumberFormat="1" applyFont="1" applyFill="1"/>
    <xf numFmtId="0" fontId="13" fillId="0" borderId="0" xfId="0" applyFont="1"/>
    <xf numFmtId="0" fontId="11" fillId="4" borderId="0" xfId="3" applyFont="1" applyAlignment="1" applyProtection="1">
      <alignment vertical="top"/>
    </xf>
    <xf numFmtId="0" fontId="11" fillId="4" borderId="0" xfId="3" applyFont="1" applyAlignment="1" applyProtection="1">
      <alignment horizontal="left" vertical="top"/>
    </xf>
    <xf numFmtId="0" fontId="4" fillId="0" borderId="0" xfId="0" applyFont="1" applyAlignment="1">
      <alignment vertical="top"/>
    </xf>
    <xf numFmtId="0" fontId="13" fillId="0" borderId="0" xfId="0" applyFont="1" applyAlignment="1">
      <alignment horizontal="left"/>
    </xf>
    <xf numFmtId="0" fontId="13" fillId="4" borderId="0" xfId="3" applyFont="1" applyAlignment="1" applyProtection="1">
      <alignment horizontal="center" vertical="top"/>
    </xf>
    <xf numFmtId="164" fontId="11" fillId="0" borderId="0" xfId="0" applyNumberFormat="1" applyFont="1" applyAlignment="1">
      <alignment vertical="top"/>
    </xf>
    <xf numFmtId="0" fontId="4" fillId="0" borderId="0" xfId="0" applyFont="1" applyAlignment="1">
      <alignment horizontal="left" vertical="top"/>
    </xf>
    <xf numFmtId="0" fontId="15" fillId="7" borderId="0" xfId="0" applyFont="1" applyFill="1" applyAlignment="1">
      <alignment vertical="top"/>
    </xf>
    <xf numFmtId="0" fontId="8" fillId="2" borderId="0" xfId="1" applyFont="1" applyAlignment="1" applyProtection="1">
      <alignment vertical="top"/>
    </xf>
    <xf numFmtId="0" fontId="8" fillId="2" borderId="0" xfId="1" applyFont="1" applyAlignment="1" applyProtection="1">
      <alignment horizontal="center" vertical="top"/>
    </xf>
    <xf numFmtId="0" fontId="8" fillId="2" borderId="0" xfId="1" applyFont="1" applyAlignment="1" applyProtection="1">
      <alignment horizontal="center" vertical="top" wrapText="1"/>
    </xf>
    <xf numFmtId="0" fontId="17" fillId="5" borderId="2" xfId="6" applyFont="1" applyAlignment="1" applyProtection="1">
      <alignment horizontal="center" vertical="top"/>
    </xf>
    <xf numFmtId="0" fontId="17" fillId="5" borderId="2" xfId="6" applyFont="1" applyAlignment="1" applyProtection="1">
      <alignment vertical="top"/>
    </xf>
    <xf numFmtId="0" fontId="3" fillId="5" borderId="2" xfId="6" applyAlignment="1" applyProtection="1">
      <alignment vertical="top"/>
    </xf>
    <xf numFmtId="0" fontId="18" fillId="8" borderId="3" xfId="0" applyFont="1" applyFill="1" applyBorder="1" applyAlignment="1">
      <alignment horizontal="left" vertical="top" wrapText="1"/>
    </xf>
    <xf numFmtId="0" fontId="19" fillId="9" borderId="0" xfId="1" applyFont="1" applyFill="1" applyAlignment="1" applyProtection="1">
      <alignment horizontal="center" vertical="top"/>
    </xf>
    <xf numFmtId="0" fontId="25" fillId="9" borderId="0" xfId="1" applyFill="1" applyAlignment="1" applyProtection="1">
      <alignment horizontal="center" vertical="top"/>
    </xf>
    <xf numFmtId="0" fontId="20" fillId="2" borderId="0" xfId="1" applyFont="1" applyAlignment="1" applyProtection="1">
      <alignment horizontal="right" vertical="top"/>
    </xf>
    <xf numFmtId="0" fontId="20" fillId="2" borderId="7" xfId="1" applyFont="1" applyBorder="1" applyAlignment="1" applyProtection="1">
      <alignment horizontal="right" vertical="top"/>
    </xf>
    <xf numFmtId="0" fontId="18" fillId="5" borderId="1" xfId="4" applyFont="1" applyAlignment="1" applyProtection="1">
      <alignment vertical="top"/>
    </xf>
    <xf numFmtId="0" fontId="15" fillId="8" borderId="3" xfId="0" applyFont="1" applyFill="1" applyBorder="1" applyAlignment="1">
      <alignment horizontal="left" vertical="top"/>
    </xf>
    <xf numFmtId="0" fontId="25" fillId="2" borderId="0" xfId="1" applyAlignment="1" applyProtection="1">
      <alignment horizontal="center" vertical="top"/>
    </xf>
    <xf numFmtId="0" fontId="8" fillId="4" borderId="8" xfId="3" applyFont="1" applyBorder="1" applyAlignment="1" applyProtection="1">
      <alignment vertical="top"/>
    </xf>
    <xf numFmtId="9" fontId="21" fillId="10" borderId="9" xfId="6" applyNumberFormat="1" applyFont="1" applyFill="1" applyBorder="1" applyAlignment="1" applyProtection="1">
      <alignment horizontal="center" vertical="top"/>
    </xf>
    <xf numFmtId="164" fontId="21" fillId="10" borderId="9" xfId="6" applyNumberFormat="1" applyFont="1" applyFill="1" applyBorder="1" applyAlignment="1" applyProtection="1">
      <alignment horizontal="right" vertical="top"/>
    </xf>
    <xf numFmtId="164" fontId="17" fillId="10" borderId="10" xfId="6" applyNumberFormat="1" applyFont="1" applyFill="1" applyBorder="1" applyAlignment="1" applyProtection="1">
      <alignment horizontal="right" vertical="top"/>
    </xf>
    <xf numFmtId="0" fontId="15" fillId="0" borderId="4" xfId="0" applyFont="1" applyBorder="1" applyAlignment="1">
      <alignment horizontal="left" vertical="top"/>
    </xf>
    <xf numFmtId="0" fontId="15" fillId="2" borderId="11" xfId="1" applyFont="1" applyBorder="1" applyAlignment="1" applyProtection="1">
      <alignment vertical="top" wrapText="1"/>
      <protection locked="0"/>
    </xf>
    <xf numFmtId="0" fontId="15" fillId="2" borderId="11" xfId="1" applyFont="1" applyBorder="1" applyAlignment="1" applyProtection="1">
      <alignment horizontal="center" vertical="top" wrapText="1"/>
      <protection locked="0"/>
    </xf>
    <xf numFmtId="0" fontId="22" fillId="9" borderId="12" xfId="2" applyFont="1" applyFill="1" applyBorder="1" applyAlignment="1" applyProtection="1">
      <alignment horizontal="center" vertical="top"/>
      <protection locked="0"/>
    </xf>
    <xf numFmtId="0" fontId="21" fillId="5" borderId="15" xfId="6" applyFont="1" applyBorder="1" applyAlignment="1" applyProtection="1">
      <alignment horizontal="center" vertical="top"/>
    </xf>
    <xf numFmtId="0" fontId="15" fillId="5" borderId="1" xfId="4" applyFont="1" applyAlignment="1" applyProtection="1">
      <alignment vertical="top"/>
    </xf>
    <xf numFmtId="0" fontId="15" fillId="8" borderId="3" xfId="0" applyFont="1" applyFill="1" applyBorder="1" applyAlignment="1" applyProtection="1">
      <alignment horizontal="left" vertical="top"/>
      <protection locked="0"/>
    </xf>
    <xf numFmtId="0" fontId="15" fillId="8" borderId="3" xfId="0" applyFont="1" applyFill="1" applyBorder="1" applyAlignment="1" applyProtection="1">
      <alignment horizontal="left" vertical="top" wrapText="1"/>
      <protection locked="0"/>
    </xf>
    <xf numFmtId="49" fontId="23" fillId="11" borderId="0" xfId="2" applyNumberFormat="1" applyFont="1" applyFill="1" applyAlignment="1" applyProtection="1">
      <alignment horizontal="left" vertical="top" wrapText="1"/>
      <protection locked="0"/>
    </xf>
    <xf numFmtId="49" fontId="23" fillId="11" borderId="16" xfId="2" applyNumberFormat="1" applyFont="1" applyFill="1" applyBorder="1" applyAlignment="1" applyProtection="1">
      <alignment horizontal="left" vertical="top" wrapText="1"/>
      <protection locked="0"/>
    </xf>
    <xf numFmtId="0" fontId="8" fillId="4" borderId="0" xfId="3" applyFont="1" applyAlignment="1" applyProtection="1">
      <alignment vertical="top"/>
    </xf>
    <xf numFmtId="2" fontId="8" fillId="4" borderId="0" xfId="3" applyNumberFormat="1" applyFont="1" applyAlignment="1" applyProtection="1">
      <alignment horizontal="center" vertical="top"/>
    </xf>
    <xf numFmtId="164" fontId="8" fillId="4" borderId="0" xfId="3" applyNumberFormat="1" applyFont="1" applyAlignment="1" applyProtection="1">
      <alignment horizontal="center" vertical="top"/>
    </xf>
    <xf numFmtId="164" fontId="3" fillId="5" borderId="2" xfId="6" applyNumberFormat="1" applyAlignment="1" applyProtection="1">
      <alignment vertical="top"/>
    </xf>
    <xf numFmtId="164" fontId="8" fillId="4" borderId="0" xfId="3" applyNumberFormat="1" applyFont="1" applyAlignment="1" applyProtection="1">
      <alignment horizontal="center" vertical="top"/>
      <protection locked="0"/>
    </xf>
    <xf numFmtId="0" fontId="8" fillId="0" borderId="0" xfId="5" applyFont="1" applyFill="1" applyAlignment="1" applyProtection="1">
      <alignment vertical="center" wrapText="1"/>
    </xf>
    <xf numFmtId="0" fontId="15" fillId="11" borderId="0" xfId="0" applyFont="1" applyFill="1"/>
    <xf numFmtId="2" fontId="15" fillId="11" borderId="0" xfId="0" applyNumberFormat="1" applyFont="1" applyFill="1"/>
    <xf numFmtId="164" fontId="18" fillId="0" borderId="0" xfId="0" applyNumberFormat="1" applyFont="1" applyAlignment="1">
      <alignment vertical="top"/>
    </xf>
    <xf numFmtId="0" fontId="15" fillId="0" borderId="0" xfId="0" applyFont="1" applyAlignment="1">
      <alignment horizontal="left" vertical="center"/>
    </xf>
    <xf numFmtId="0" fontId="14" fillId="0" borderId="0" xfId="0" applyFont="1" applyAlignment="1">
      <alignment horizontal="left" vertical="center"/>
    </xf>
    <xf numFmtId="0" fontId="0" fillId="0" borderId="0" xfId="0" applyAlignment="1">
      <alignment horizontal="left" vertical="center"/>
    </xf>
    <xf numFmtId="0" fontId="4" fillId="0" borderId="0" xfId="0" applyFont="1" applyAlignment="1">
      <alignment horizontal="center" vertical="top"/>
    </xf>
    <xf numFmtId="0" fontId="13" fillId="0" borderId="0" xfId="0" applyFont="1" applyAlignment="1">
      <alignment horizontal="left" vertical="center"/>
    </xf>
    <xf numFmtId="0" fontId="4" fillId="0" borderId="0" xfId="0" applyFont="1" applyAlignment="1">
      <alignment horizontal="left" vertical="center"/>
    </xf>
    <xf numFmtId="0" fontId="0" fillId="0" borderId="0" xfId="0" applyAlignment="1">
      <alignment vertical="top"/>
    </xf>
    <xf numFmtId="164" fontId="17" fillId="5" borderId="2" xfId="6" applyNumberFormat="1" applyFont="1" applyAlignment="1" applyProtection="1">
      <alignment horizontal="right" vertical="top"/>
    </xf>
    <xf numFmtId="0" fontId="18" fillId="8" borderId="3" xfId="0" applyFont="1" applyFill="1" applyBorder="1" applyAlignment="1">
      <alignment horizontal="left" vertical="center" wrapText="1"/>
    </xf>
    <xf numFmtId="164" fontId="17" fillId="5" borderId="2" xfId="6" applyNumberFormat="1" applyFont="1" applyAlignment="1" applyProtection="1">
      <alignment vertical="top"/>
    </xf>
    <xf numFmtId="0" fontId="15" fillId="8" borderId="3" xfId="0" applyFont="1" applyFill="1" applyBorder="1" applyAlignment="1">
      <alignment horizontal="left" vertical="center"/>
    </xf>
    <xf numFmtId="0" fontId="8" fillId="4" borderId="18" xfId="3" applyFont="1" applyBorder="1" applyAlignment="1" applyProtection="1">
      <alignment vertical="top"/>
    </xf>
    <xf numFmtId="0" fontId="15" fillId="0" borderId="5" xfId="0" applyFont="1" applyBorder="1" applyAlignment="1">
      <alignment horizontal="left" vertical="center"/>
    </xf>
    <xf numFmtId="0" fontId="17" fillId="5" borderId="15" xfId="6" applyFont="1" applyBorder="1" applyAlignment="1" applyProtection="1">
      <alignment horizontal="center" vertical="top"/>
    </xf>
    <xf numFmtId="0" fontId="15" fillId="8" borderId="3" xfId="0" applyFont="1" applyFill="1" applyBorder="1" applyAlignment="1" applyProtection="1">
      <alignment horizontal="left" vertical="center"/>
      <protection locked="0"/>
    </xf>
    <xf numFmtId="0" fontId="23" fillId="11" borderId="0" xfId="2" applyFont="1" applyFill="1" applyAlignment="1" applyProtection="1">
      <alignment horizontal="left" vertical="top" wrapText="1"/>
      <protection locked="0"/>
    </xf>
    <xf numFmtId="0" fontId="23" fillId="11" borderId="19" xfId="2" applyFont="1" applyFill="1" applyBorder="1" applyAlignment="1" applyProtection="1">
      <alignment horizontal="left" vertical="top" wrapText="1"/>
      <protection locked="0"/>
    </xf>
    <xf numFmtId="0" fontId="8" fillId="4" borderId="20" xfId="3" applyFont="1" applyBorder="1" applyAlignment="1" applyProtection="1">
      <alignment vertical="top"/>
    </xf>
    <xf numFmtId="0" fontId="18" fillId="0" borderId="0" xfId="0" applyFont="1" applyAlignment="1">
      <alignment vertical="top"/>
    </xf>
    <xf numFmtId="0" fontId="6" fillId="4" borderId="0" xfId="3" applyFont="1" applyAlignment="1" applyProtection="1">
      <alignment horizontal="left" vertical="center"/>
    </xf>
    <xf numFmtId="0" fontId="4" fillId="0" borderId="0" xfId="0" applyFont="1" applyAlignment="1">
      <alignment horizontal="center" vertical="center"/>
    </xf>
    <xf numFmtId="0" fontId="7" fillId="3" borderId="3" xfId="2" applyFont="1" applyBorder="1" applyAlignment="1" applyProtection="1">
      <alignment horizontal="left" vertical="center" wrapText="1"/>
      <protection locked="0"/>
    </xf>
    <xf numFmtId="0" fontId="8" fillId="3" borderId="4" xfId="2" applyFont="1" applyBorder="1" applyAlignment="1" applyProtection="1">
      <alignment horizontal="left" vertical="center" wrapText="1"/>
      <protection locked="0"/>
    </xf>
    <xf numFmtId="0" fontId="8" fillId="3" borderId="5" xfId="2" applyFont="1" applyBorder="1" applyAlignment="1" applyProtection="1">
      <alignment horizontal="left" vertical="center" wrapText="1"/>
      <protection locked="0"/>
    </xf>
    <xf numFmtId="0" fontId="8" fillId="3" borderId="6" xfId="2" applyFont="1" applyBorder="1" applyAlignment="1" applyProtection="1">
      <alignment horizontal="left" vertical="center" wrapText="1"/>
      <protection locked="0"/>
    </xf>
    <xf numFmtId="0" fontId="7" fillId="3" borderId="4" xfId="2" applyFont="1" applyBorder="1" applyAlignment="1" applyProtection="1">
      <alignment horizontal="left" vertical="center" wrapText="1"/>
      <protection locked="0"/>
    </xf>
    <xf numFmtId="0" fontId="7" fillId="3" borderId="5" xfId="2" applyFont="1" applyBorder="1" applyAlignment="1" applyProtection="1">
      <alignment horizontal="left" vertical="center" wrapText="1"/>
      <protection locked="0"/>
    </xf>
    <xf numFmtId="0" fontId="7" fillId="3" borderId="6" xfId="2" applyFont="1" applyBorder="1" applyAlignment="1" applyProtection="1">
      <alignment horizontal="left" vertical="center" wrapText="1"/>
      <protection locked="0"/>
    </xf>
    <xf numFmtId="14" fontId="7" fillId="3" borderId="4" xfId="2" applyNumberFormat="1" applyFont="1" applyBorder="1" applyAlignment="1" applyProtection="1">
      <alignment horizontal="left" vertical="center" wrapText="1"/>
      <protection locked="0"/>
    </xf>
    <xf numFmtId="14" fontId="7" fillId="3" borderId="5" xfId="2" applyNumberFormat="1" applyFont="1" applyBorder="1" applyAlignment="1" applyProtection="1">
      <alignment horizontal="left" vertical="center" wrapText="1"/>
      <protection locked="0"/>
    </xf>
    <xf numFmtId="14" fontId="7" fillId="3" borderId="6" xfId="2" applyNumberFormat="1" applyFont="1" applyBorder="1" applyAlignment="1" applyProtection="1">
      <alignment horizontal="left" vertical="center" wrapText="1"/>
      <protection locked="0"/>
    </xf>
    <xf numFmtId="0" fontId="11" fillId="4" borderId="0" xfId="3" applyFont="1" applyAlignment="1" applyProtection="1">
      <alignment horizontal="center" vertical="center"/>
    </xf>
    <xf numFmtId="0" fontId="12" fillId="3" borderId="0" xfId="2" applyFont="1" applyAlignment="1" applyProtection="1">
      <alignment horizontal="left" vertical="top" wrapText="1"/>
      <protection locked="0"/>
    </xf>
    <xf numFmtId="0" fontId="7" fillId="6" borderId="0" xfId="5" applyFont="1" applyAlignment="1" applyProtection="1">
      <alignment horizontal="left" vertical="center"/>
    </xf>
    <xf numFmtId="0" fontId="7" fillId="4" borderId="0" xfId="3" applyFont="1" applyAlignment="1" applyProtection="1">
      <alignment horizontal="left" vertical="center"/>
    </xf>
    <xf numFmtId="0" fontId="12" fillId="3" borderId="4" xfId="2" applyFont="1" applyBorder="1" applyAlignment="1" applyProtection="1">
      <alignment horizontal="left" vertical="top"/>
      <protection locked="0"/>
    </xf>
    <xf numFmtId="0" fontId="12" fillId="3" borderId="6" xfId="2" applyFont="1" applyBorder="1" applyAlignment="1" applyProtection="1">
      <alignment horizontal="left" vertical="top"/>
      <protection locked="0"/>
    </xf>
    <xf numFmtId="0" fontId="8" fillId="4" borderId="0" xfId="3" applyFont="1" applyAlignment="1" applyProtection="1">
      <alignment horizontal="left" vertical="top"/>
    </xf>
    <xf numFmtId="0" fontId="17" fillId="5" borderId="17" xfId="6" applyFont="1" applyBorder="1" applyAlignment="1" applyProtection="1">
      <alignment horizontal="right" vertical="top"/>
    </xf>
    <xf numFmtId="0" fontId="17" fillId="5" borderId="15" xfId="6" applyFont="1" applyBorder="1" applyAlignment="1" applyProtection="1">
      <alignment horizontal="right" vertical="top"/>
    </xf>
    <xf numFmtId="0" fontId="8" fillId="6" borderId="0" xfId="5" applyFont="1" applyAlignment="1" applyProtection="1">
      <alignment horizontal="left" vertical="center" wrapText="1"/>
    </xf>
    <xf numFmtId="0" fontId="23" fillId="11" borderId="13" xfId="2" applyFont="1" applyFill="1" applyBorder="1" applyAlignment="1" applyProtection="1">
      <alignment horizontal="left" vertical="top"/>
      <protection locked="0"/>
    </xf>
    <xf numFmtId="0" fontId="23" fillId="11" borderId="14" xfId="2" applyFont="1" applyFill="1" applyBorder="1" applyAlignment="1" applyProtection="1">
      <alignment horizontal="left" vertical="top"/>
      <protection locked="0"/>
    </xf>
    <xf numFmtId="0" fontId="23" fillId="11" borderId="13" xfId="2" applyFont="1" applyFill="1" applyBorder="1" applyAlignment="1" applyProtection="1">
      <alignment horizontal="left" vertical="top" wrapText="1"/>
      <protection locked="0"/>
    </xf>
    <xf numFmtId="0" fontId="23" fillId="11" borderId="14" xfId="2" applyFont="1" applyFill="1" applyBorder="1" applyAlignment="1" applyProtection="1">
      <alignment horizontal="left" vertical="top" wrapText="1"/>
      <protection locked="0"/>
    </xf>
    <xf numFmtId="0" fontId="24" fillId="11" borderId="13" xfId="2" applyFont="1" applyFill="1" applyBorder="1" applyAlignment="1" applyProtection="1">
      <alignment horizontal="left" vertical="top" wrapText="1"/>
      <protection locked="0"/>
    </xf>
    <xf numFmtId="0" fontId="24" fillId="11" borderId="14" xfId="2" applyFont="1" applyFill="1" applyBorder="1" applyAlignment="1" applyProtection="1">
      <alignment horizontal="left" vertical="top" wrapText="1"/>
      <protection locked="0"/>
    </xf>
    <xf numFmtId="49" fontId="23" fillId="11" borderId="13" xfId="2" applyNumberFormat="1" applyFont="1" applyFill="1" applyBorder="1" applyAlignment="1" applyProtection="1">
      <alignment horizontal="left" vertical="top" wrapText="1"/>
      <protection locked="0"/>
    </xf>
    <xf numFmtId="49" fontId="23" fillId="11" borderId="14" xfId="2" applyNumberFormat="1" applyFont="1" applyFill="1" applyBorder="1" applyAlignment="1" applyProtection="1">
      <alignment horizontal="left" vertical="top" wrapText="1"/>
      <protection locked="0"/>
    </xf>
    <xf numFmtId="0" fontId="11" fillId="4" borderId="0" xfId="3" applyFont="1" applyAlignment="1" applyProtection="1">
      <alignment horizontal="left" vertical="top" wrapText="1"/>
    </xf>
    <xf numFmtId="0" fontId="11" fillId="4" borderId="0" xfId="3" applyFont="1" applyAlignment="1" applyProtection="1">
      <alignment horizontal="left" vertical="top"/>
    </xf>
    <xf numFmtId="0" fontId="8" fillId="2" borderId="0" xfId="1" applyFont="1" applyAlignment="1" applyProtection="1">
      <alignment horizontal="center" vertical="top"/>
    </xf>
    <xf numFmtId="0" fontId="8" fillId="2" borderId="7" xfId="1" applyFont="1" applyBorder="1" applyAlignment="1" applyProtection="1">
      <alignment horizontal="center" vertical="top"/>
    </xf>
    <xf numFmtId="0" fontId="11" fillId="2" borderId="0" xfId="1" applyFont="1" applyAlignment="1" applyProtection="1">
      <alignment horizontal="left" vertical="top"/>
    </xf>
    <xf numFmtId="165" fontId="8" fillId="12" borderId="0" xfId="2" applyNumberFormat="1" applyFont="1" applyFill="1" applyAlignment="1" applyProtection="1">
      <alignment horizontal="left" vertical="top"/>
      <protection locked="0"/>
    </xf>
    <xf numFmtId="9" fontId="8" fillId="10" borderId="0" xfId="7" applyFont="1" applyFill="1" applyAlignment="1" applyProtection="1">
      <alignment horizontal="center" vertical="top"/>
      <protection locked="0"/>
    </xf>
    <xf numFmtId="1" fontId="8" fillId="10" borderId="0" xfId="7" applyNumberFormat="1" applyFont="1" applyFill="1" applyAlignment="1" applyProtection="1">
      <alignment horizontal="right" vertical="top"/>
    </xf>
  </cellXfs>
  <cellStyles count="8">
    <cellStyle name="20 % - Akzent1" xfId="1" builtinId="30"/>
    <cellStyle name="40 % - Akzent1" xfId="2" builtinId="31"/>
    <cellStyle name="40 % - Akzent6" xfId="3" builtinId="51"/>
    <cellStyle name="Ausgabe" xfId="6" builtinId="21"/>
    <cellStyle name="Berechnung" xfId="4" builtinId="22"/>
    <cellStyle name="Neutral" xfId="5" builtinId="28"/>
    <cellStyle name="Prozent" xfId="7" builtinId="5"/>
    <cellStyle name="Standard" xfId="0" builtinId="0"/>
  </cellStyles>
  <dxfs count="6">
    <dxf>
      <font>
        <color theme="0"/>
      </font>
      <fill>
        <patternFill patternType="solid">
          <fgColor indexed="2"/>
          <bgColor indexed="2"/>
        </patternFill>
      </fill>
    </dxf>
    <dxf>
      <fill>
        <patternFill patternType="solid">
          <fgColor indexed="43"/>
          <bgColor indexed="43"/>
        </patternFill>
      </fill>
    </dxf>
    <dxf>
      <fill>
        <patternFill patternType="solid">
          <fgColor theme="6" tint="0.39994506668294322"/>
          <bgColor theme="6" tint="0.39994506668294322"/>
        </patternFill>
      </fill>
    </dxf>
    <dxf>
      <font>
        <color theme="0"/>
      </font>
      <fill>
        <patternFill patternType="solid">
          <fgColor indexed="2"/>
          <bgColor indexed="2"/>
        </patternFill>
      </fill>
    </dxf>
    <dxf>
      <font>
        <color theme="1"/>
      </font>
      <fill>
        <patternFill patternType="solid">
          <fgColor indexed="43"/>
          <bgColor indexed="43"/>
        </patternFill>
      </fill>
    </dxf>
    <dxf>
      <font>
        <color theme="1"/>
      </font>
      <fill>
        <patternFill patternType="solid">
          <fgColor theme="6" tint="0.39994506668294322"/>
          <bgColor theme="6"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amue\Proton\Other%2520computers\SAMSASUS\Documents\Teaching\CAS%2520AISE%25202026\HANDS-ON\Bewertungsformular%2520CAS%2520AISE%2520-%2520NAM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samtbewertung"/>
      <sheetName val="Bewertung schriftliche Arbeit"/>
      <sheetName val="Bewertung Kolloquium"/>
      <sheetName val="Administration"/>
    </sheetNames>
    <sheetDataSet>
      <sheetData sheetId="0">
        <row r="3">
          <cell r="B3" t="e">
            <v>#REF!</v>
          </cell>
          <cell r="C3" t="e">
            <v>#REF!</v>
          </cell>
        </row>
        <row r="5">
          <cell r="B5" t="e">
            <v>#REF!</v>
          </cell>
        </row>
        <row r="6">
          <cell r="B6" t="e">
            <v>#REF!</v>
          </cell>
          <cell r="E6" t="e">
            <v>#REF!</v>
          </cell>
        </row>
        <row r="7">
          <cell r="B7" t="e">
            <v>#REF!</v>
          </cell>
          <cell r="C7" t="e">
            <v>#REF!</v>
          </cell>
        </row>
        <row r="8">
          <cell r="B8" t="e">
            <v>#REF!</v>
          </cell>
          <cell r="C8" t="e">
            <v>#REF!</v>
          </cell>
        </row>
        <row r="13">
          <cell r="C13" t="e">
            <v>#REF!</v>
          </cell>
        </row>
        <row r="14">
          <cell r="C14" t="e">
            <v>#REF!</v>
          </cell>
        </row>
      </sheetData>
      <sheetData sheetId="1">
        <row r="44">
          <cell r="F44" t="e">
            <v>#REF!</v>
          </cell>
        </row>
      </sheetData>
      <sheetData sheetId="2">
        <row r="9">
          <cell r="C9" t="e">
            <v>#REF!</v>
          </cell>
          <cell r="D9" t="e">
            <v>#REF!</v>
          </cell>
          <cell r="E9" t="e">
            <v>#REF!</v>
          </cell>
        </row>
        <row r="11">
          <cell r="A11" t="e">
            <v>#REF!</v>
          </cell>
          <cell r="F11" t="e">
            <v>#REF!</v>
          </cell>
        </row>
        <row r="12">
          <cell r="A12" t="e">
            <v>#REF!</v>
          </cell>
          <cell r="C12" t="e">
            <v>#REF!</v>
          </cell>
          <cell r="D12" t="e">
            <v>#REF!</v>
          </cell>
          <cell r="E12" t="e">
            <v>#REF!</v>
          </cell>
          <cell r="L12" t="e">
            <v>#REF!</v>
          </cell>
        </row>
        <row r="13">
          <cell r="A13" t="e">
            <v>#REF!</v>
          </cell>
          <cell r="C13" t="e">
            <v>#REF!</v>
          </cell>
          <cell r="D13" t="e">
            <v>#REF!</v>
          </cell>
          <cell r="E13" t="e">
            <v>#REF!</v>
          </cell>
        </row>
        <row r="14">
          <cell r="A14" t="e">
            <v>#REF!</v>
          </cell>
          <cell r="C14" t="e">
            <v>#REF!</v>
          </cell>
          <cell r="D14" t="e">
            <v>#REF!</v>
          </cell>
          <cell r="E14" t="e">
            <v>#REF!</v>
          </cell>
        </row>
        <row r="15">
          <cell r="A15" t="e">
            <v>#REF!</v>
          </cell>
          <cell r="C15" t="e">
            <v>#REF!</v>
          </cell>
          <cell r="D15" t="e">
            <v>#REF!</v>
          </cell>
          <cell r="E15" t="e">
            <v>#REF!</v>
          </cell>
          <cell r="L15" t="e">
            <v>#REF!</v>
          </cell>
        </row>
        <row r="16">
          <cell r="A16" t="e">
            <v>#REF!</v>
          </cell>
          <cell r="C16" t="e">
            <v>#REF!</v>
          </cell>
          <cell r="D16" t="e">
            <v>#REF!</v>
          </cell>
          <cell r="E16" t="e">
            <v>#REF!</v>
          </cell>
        </row>
        <row r="18">
          <cell r="A18" t="e">
            <v>#REF!</v>
          </cell>
          <cell r="F18" t="e">
            <v>#REF!</v>
          </cell>
        </row>
        <row r="19">
          <cell r="A19" t="e">
            <v>#REF!</v>
          </cell>
          <cell r="C19" t="e">
            <v>#REF!</v>
          </cell>
          <cell r="D19" t="e">
            <v>#REF!</v>
          </cell>
          <cell r="E19" t="e">
            <v>#REF!</v>
          </cell>
        </row>
        <row r="20">
          <cell r="A20" t="e">
            <v>#REF!</v>
          </cell>
          <cell r="C20" t="e">
            <v>#REF!</v>
          </cell>
          <cell r="D20" t="e">
            <v>#REF!</v>
          </cell>
          <cell r="E20" t="e">
            <v>#REF!</v>
          </cell>
        </row>
        <row r="22">
          <cell r="A22" t="e">
            <v>#REF!</v>
          </cell>
          <cell r="F22" t="e">
            <v>#REF!</v>
          </cell>
        </row>
        <row r="23">
          <cell r="A23" t="e">
            <v>#REF!</v>
          </cell>
          <cell r="C23" t="e">
            <v>#REF!</v>
          </cell>
          <cell r="D23" t="e">
            <v>#REF!</v>
          </cell>
          <cell r="E23" t="e">
            <v>#REF!</v>
          </cell>
        </row>
        <row r="24">
          <cell r="A24" t="e">
            <v>#REF!</v>
          </cell>
          <cell r="C24" t="e">
            <v>#REF!</v>
          </cell>
          <cell r="D24" t="e">
            <v>#REF!</v>
          </cell>
          <cell r="E24" t="e">
            <v>#REF!</v>
          </cell>
          <cell r="L24" t="e">
            <v>#REF!</v>
          </cell>
        </row>
        <row r="25">
          <cell r="A25" t="e">
            <v>#REF!</v>
          </cell>
          <cell r="C25" t="e">
            <v>#REF!</v>
          </cell>
          <cell r="D25" t="e">
            <v>#REF!</v>
          </cell>
          <cell r="E25" t="e">
            <v>#REF!</v>
          </cell>
          <cell r="L25" t="e">
            <v>#REF!</v>
          </cell>
        </row>
        <row r="26">
          <cell r="A26" t="e">
            <v>#REF!</v>
          </cell>
          <cell r="C26" t="e">
            <v>#REF!</v>
          </cell>
          <cell r="D26" t="e">
            <v>#REF!</v>
          </cell>
          <cell r="E26" t="e">
            <v>#REF!</v>
          </cell>
        </row>
        <row r="27">
          <cell r="A27" t="e">
            <v>#REF!</v>
          </cell>
          <cell r="C27" t="e">
            <v>#REF!</v>
          </cell>
          <cell r="D27" t="e">
            <v>#REF!</v>
          </cell>
          <cell r="E27" t="e">
            <v>#REF!</v>
          </cell>
        </row>
        <row r="29">
          <cell r="A29" t="e">
            <v>#REF!</v>
          </cell>
          <cell r="C29" t="e">
            <v>#REF!</v>
          </cell>
          <cell r="F29" t="e">
            <v>#REF!</v>
          </cell>
        </row>
        <row r="30">
          <cell r="A30" t="e">
            <v>#REF!</v>
          </cell>
          <cell r="C30" t="e">
            <v>#REF!</v>
          </cell>
          <cell r="F30" t="e">
            <v>#REF!</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
  <sheetViews>
    <sheetView tabSelected="1" workbookViewId="0">
      <selection activeCell="A18" sqref="A18:E19"/>
    </sheetView>
  </sheetViews>
  <sheetFormatPr defaultColWidth="11.5703125" defaultRowHeight="15.75"/>
  <cols>
    <col min="1" max="1" width="58.7109375" style="1" bestFit="1" customWidth="1"/>
    <col min="2" max="2" width="33.85546875" style="2" customWidth="1"/>
    <col min="3" max="3" width="31.140625" style="1" customWidth="1"/>
    <col min="4" max="4" width="13.85546875" style="1" customWidth="1"/>
    <col min="5" max="5" width="35.42578125" style="3" customWidth="1"/>
    <col min="6" max="16384" width="11.5703125" style="1"/>
  </cols>
  <sheetData>
    <row r="1" spans="1:7" s="4" customFormat="1" ht="26.25">
      <c r="A1" s="104" t="str">
        <f>"Bewertung "&amp;B6</f>
        <v>Bewertung CAS KI für Softwareentwicklung</v>
      </c>
      <c r="B1" s="104"/>
      <c r="C1" s="104"/>
      <c r="D1" s="104"/>
      <c r="E1" s="104"/>
      <c r="F1" s="1"/>
      <c r="G1" s="1"/>
    </row>
    <row r="2" spans="1:7">
      <c r="A2" s="105"/>
      <c r="B2" s="105"/>
      <c r="C2" s="105"/>
      <c r="D2" s="105"/>
    </row>
    <row r="3" spans="1:7" ht="19.5">
      <c r="A3" s="5" t="s">
        <v>0</v>
      </c>
      <c r="B3" s="6" t="s">
        <v>1</v>
      </c>
      <c r="C3" s="106" t="s">
        <v>2</v>
      </c>
      <c r="D3" s="106"/>
      <c r="E3" s="106"/>
    </row>
    <row r="4" spans="1:7" ht="19.5">
      <c r="A4" s="5" t="s">
        <v>3</v>
      </c>
      <c r="B4" s="106"/>
      <c r="C4" s="106"/>
      <c r="D4" s="106"/>
      <c r="E4" s="106"/>
    </row>
    <row r="5" spans="1:7" ht="61.5" customHeight="1">
      <c r="A5" s="5" t="s">
        <v>4</v>
      </c>
      <c r="B5" s="107" t="s">
        <v>5</v>
      </c>
      <c r="C5" s="108"/>
      <c r="D5" s="109"/>
      <c r="E5" s="7"/>
    </row>
    <row r="6" spans="1:7" ht="19.5">
      <c r="A6" s="5" t="s">
        <v>6</v>
      </c>
      <c r="B6" s="110" t="s">
        <v>7</v>
      </c>
      <c r="C6" s="111"/>
      <c r="D6" s="112"/>
      <c r="E6" s="7" t="s">
        <v>8</v>
      </c>
    </row>
    <row r="7" spans="1:7" ht="19.5">
      <c r="A7" s="5" t="s">
        <v>9</v>
      </c>
      <c r="B7" s="6" t="s">
        <v>10</v>
      </c>
      <c r="C7" s="106" t="s">
        <v>11</v>
      </c>
      <c r="D7" s="106"/>
      <c r="E7" s="106"/>
    </row>
    <row r="8" spans="1:7" ht="19.5">
      <c r="A8" s="5" t="s">
        <v>12</v>
      </c>
      <c r="B8" s="6" t="s">
        <v>13</v>
      </c>
      <c r="C8" s="106" t="s">
        <v>14</v>
      </c>
      <c r="D8" s="106"/>
      <c r="E8" s="106"/>
    </row>
    <row r="9" spans="1:7" ht="19.5">
      <c r="A9" s="5" t="s">
        <v>15</v>
      </c>
      <c r="B9" s="8" t="s">
        <v>8</v>
      </c>
      <c r="C9" s="113">
        <v>46265</v>
      </c>
      <c r="D9" s="114"/>
      <c r="E9" s="115"/>
    </row>
    <row r="10" spans="1:7" ht="13.9" customHeight="1"/>
    <row r="11" spans="1:7" ht="19.5">
      <c r="A11" s="9"/>
      <c r="B11" s="10"/>
      <c r="C11" s="11" t="s">
        <v>16</v>
      </c>
      <c r="D11" s="11" t="s">
        <v>17</v>
      </c>
    </row>
    <row r="12" spans="1:7" ht="19.5">
      <c r="A12" s="9"/>
      <c r="B12" s="10"/>
      <c r="C12" s="11"/>
      <c r="D12" s="11"/>
    </row>
    <row r="13" spans="1:7" ht="19.5">
      <c r="A13" s="9"/>
      <c r="B13" s="12" t="s">
        <v>18</v>
      </c>
      <c r="C13" s="13">
        <f>'Bewertung schriftliche Arbeit'!F39</f>
        <v>1</v>
      </c>
      <c r="D13" s="14">
        <v>0.8</v>
      </c>
    </row>
    <row r="14" spans="1:7" ht="19.5">
      <c r="A14" s="9"/>
      <c r="B14" s="12" t="s">
        <v>19</v>
      </c>
      <c r="C14" s="13">
        <f>'Bewertung Präsentation'!F30</f>
        <v>1</v>
      </c>
      <c r="D14" s="14">
        <v>0.2</v>
      </c>
    </row>
    <row r="15" spans="1:7" ht="21.75">
      <c r="A15" s="15" t="s">
        <v>20</v>
      </c>
      <c r="B15" s="16"/>
      <c r="C15" s="17">
        <f>ROUND((C13*D13)+(C14*D14),1)</f>
        <v>1</v>
      </c>
      <c r="D15" s="14"/>
    </row>
    <row r="16" spans="1:7" ht="21.75">
      <c r="A16" s="9" t="s">
        <v>21</v>
      </c>
      <c r="B16" s="10"/>
      <c r="C16" s="13">
        <f>MROUND((C13*D13)+(C14*D14),0.5)</f>
        <v>1</v>
      </c>
      <c r="D16" s="18"/>
    </row>
    <row r="17" spans="1:5">
      <c r="A17" s="116"/>
      <c r="B17" s="116"/>
      <c r="C17" s="116"/>
      <c r="D17" s="116"/>
      <c r="E17" s="116"/>
    </row>
    <row r="18" spans="1:5" ht="395.25" customHeight="1">
      <c r="A18" s="117" t="s">
        <v>22</v>
      </c>
      <c r="B18" s="117"/>
      <c r="C18" s="117"/>
      <c r="D18" s="117"/>
      <c r="E18" s="117"/>
    </row>
    <row r="19" spans="1:5" ht="327.75" customHeight="1">
      <c r="A19" s="117"/>
      <c r="B19" s="117"/>
      <c r="C19" s="117"/>
      <c r="D19" s="117"/>
      <c r="E19" s="117"/>
    </row>
    <row r="20" spans="1:5" s="19" customFormat="1"/>
    <row r="21" spans="1:5" s="19" customFormat="1" ht="19.5">
      <c r="A21" s="118" t="s">
        <v>23</v>
      </c>
      <c r="B21" s="118"/>
      <c r="C21" s="118"/>
      <c r="D21" s="118"/>
      <c r="E21" s="118"/>
    </row>
    <row r="22" spans="1:5" s="19" customFormat="1" ht="21.75">
      <c r="A22" s="20"/>
      <c r="B22" s="20"/>
      <c r="C22" s="20"/>
      <c r="D22" s="20"/>
      <c r="E22" s="20"/>
    </row>
    <row r="23" spans="1:5" ht="19.5">
      <c r="A23" s="21" t="s">
        <v>15</v>
      </c>
      <c r="B23" s="119" t="s">
        <v>24</v>
      </c>
      <c r="C23" s="119"/>
      <c r="D23" s="22"/>
      <c r="E23" s="23"/>
    </row>
    <row r="24" spans="1:5" ht="19.5">
      <c r="A24" s="24"/>
      <c r="B24" s="120"/>
      <c r="C24" s="121"/>
      <c r="D24" s="22"/>
      <c r="E24" s="23"/>
    </row>
    <row r="25" spans="1:5" ht="19.5">
      <c r="A25" s="21" t="s">
        <v>15</v>
      </c>
      <c r="B25" s="119" t="s">
        <v>25</v>
      </c>
      <c r="C25" s="119"/>
      <c r="D25" s="22"/>
      <c r="E25" s="23"/>
    </row>
    <row r="26" spans="1:5" ht="19.5">
      <c r="A26" s="24"/>
      <c r="B26" s="120"/>
      <c r="C26" s="121"/>
      <c r="D26" s="22"/>
      <c r="E26" s="23"/>
    </row>
  </sheetData>
  <protectedRanges>
    <protectedRange sqref="A24:B24 A26:B26" name="Unterschriften"/>
    <protectedRange sqref="A18:A22" name="Beurteilung"/>
    <protectedRange sqref="B4:D6 B3:E3 B7:E8 B9:D9" name="Grunddaten"/>
  </protectedRanges>
  <mergeCells count="16">
    <mergeCell ref="B26:C26"/>
    <mergeCell ref="A18:E19"/>
    <mergeCell ref="A21:E21"/>
    <mergeCell ref="B23:C23"/>
    <mergeCell ref="B24:C24"/>
    <mergeCell ref="B25:C25"/>
    <mergeCell ref="B6:D6"/>
    <mergeCell ref="C7:E7"/>
    <mergeCell ref="C8:E8"/>
    <mergeCell ref="C9:E9"/>
    <mergeCell ref="A17:E17"/>
    <mergeCell ref="A1:E1"/>
    <mergeCell ref="A2:D2"/>
    <mergeCell ref="C3:E3"/>
    <mergeCell ref="B4:E4"/>
    <mergeCell ref="B5:D5"/>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351"/>
  <sheetViews>
    <sheetView topLeftCell="A30" workbookViewId="0">
      <selection activeCell="G45" sqref="G45"/>
    </sheetView>
  </sheetViews>
  <sheetFormatPr defaultColWidth="11.42578125" defaultRowHeight="15" outlineLevelRow="2"/>
  <cols>
    <col min="1" max="1" width="32" style="25" customWidth="1"/>
    <col min="2" max="2" width="15.5703125" style="26" customWidth="1"/>
    <col min="3" max="5" width="33.28515625" style="25" customWidth="1"/>
    <col min="6" max="6" width="16.140625" style="26" customWidth="1"/>
    <col min="7" max="8" width="18.140625" style="26" customWidth="1"/>
    <col min="9" max="9" width="16.140625" style="26" hidden="1" customWidth="1"/>
    <col min="10" max="11" width="13.7109375" style="25" hidden="1" customWidth="1"/>
    <col min="12" max="12" width="18" style="27" hidden="1" customWidth="1"/>
    <col min="14" max="36" width="16" style="28" hidden="1" customWidth="1"/>
    <col min="37" max="37" width="16.140625" style="28" hidden="1" customWidth="1"/>
    <col min="38" max="38" width="16.140625" hidden="1" customWidth="1"/>
    <col min="39" max="40" width="16.140625" style="28" hidden="1" customWidth="1"/>
    <col min="41" max="41" width="13.42578125" style="28" hidden="1" customWidth="1"/>
    <col min="42" max="42" width="11.42578125" style="28" hidden="1" customWidth="1"/>
  </cols>
  <sheetData>
    <row r="1" spans="1:42" s="29" customFormat="1" ht="21">
      <c r="A1" s="30" t="str">
        <f>Gesamtbewertung!A1</f>
        <v>Bewertung CAS KI für Softwareentwicklung</v>
      </c>
      <c r="B1" s="30"/>
      <c r="C1" s="30"/>
      <c r="D1" s="30"/>
      <c r="E1" s="30"/>
      <c r="F1" s="30"/>
      <c r="G1" s="30"/>
      <c r="H1" s="30"/>
      <c r="I1" s="31"/>
      <c r="J1" s="32"/>
      <c r="K1" s="32"/>
      <c r="L1" s="33"/>
      <c r="N1" s="34" t="s">
        <v>26</v>
      </c>
      <c r="O1" s="34" t="s">
        <v>27</v>
      </c>
      <c r="P1" s="34" t="s">
        <v>28</v>
      </c>
      <c r="Q1" s="34" t="s">
        <v>29</v>
      </c>
      <c r="R1" s="34" t="s">
        <v>30</v>
      </c>
      <c r="S1" s="34" t="s">
        <v>31</v>
      </c>
      <c r="T1" s="34" t="s">
        <v>32</v>
      </c>
      <c r="U1" s="34" t="s">
        <v>33</v>
      </c>
      <c r="V1" s="34" t="s">
        <v>34</v>
      </c>
      <c r="W1" s="34" t="s">
        <v>35</v>
      </c>
      <c r="X1" s="34" t="s">
        <v>36</v>
      </c>
      <c r="Y1" s="34" t="s">
        <v>37</v>
      </c>
      <c r="Z1" s="34" t="s">
        <v>38</v>
      </c>
      <c r="AA1" s="34" t="s">
        <v>39</v>
      </c>
      <c r="AB1" s="34" t="s">
        <v>40</v>
      </c>
      <c r="AC1" s="34" t="s">
        <v>41</v>
      </c>
      <c r="AD1" s="34" t="s">
        <v>42</v>
      </c>
      <c r="AE1" s="34" t="s">
        <v>43</v>
      </c>
      <c r="AF1" s="34" t="s">
        <v>44</v>
      </c>
      <c r="AG1" s="34" t="s">
        <v>45</v>
      </c>
      <c r="AH1" s="34" t="s">
        <v>46</v>
      </c>
      <c r="AI1" s="34" t="s">
        <v>47</v>
      </c>
      <c r="AJ1" s="34" t="s">
        <v>48</v>
      </c>
      <c r="AK1" s="34" t="s">
        <v>49</v>
      </c>
      <c r="AL1" s="34" t="s">
        <v>50</v>
      </c>
      <c r="AM1" s="34" t="s">
        <v>51</v>
      </c>
      <c r="AN1" s="34" t="s">
        <v>52</v>
      </c>
      <c r="AO1" s="34" t="s">
        <v>53</v>
      </c>
      <c r="AP1" s="34" t="s">
        <v>54</v>
      </c>
    </row>
    <row r="2" spans="1:42" ht="9" customHeight="1">
      <c r="A2" s="35"/>
      <c r="B2" s="35"/>
      <c r="C2" s="35"/>
      <c r="D2" s="35"/>
      <c r="E2" s="35"/>
      <c r="F2" s="35"/>
      <c r="G2" s="35"/>
      <c r="H2" s="35"/>
      <c r="I2" s="28"/>
      <c r="J2" s="36"/>
      <c r="L2" s="37"/>
      <c r="N2" s="34" t="e">
        <f>[1]Gesamtbewertung!B3</f>
        <v>#REF!</v>
      </c>
      <c r="O2" s="34" t="e">
        <f>[1]Gesamtbewertung!C3</f>
        <v>#REF!</v>
      </c>
      <c r="P2" s="34"/>
      <c r="Q2" s="34"/>
      <c r="R2" s="34"/>
      <c r="S2" s="34"/>
      <c r="T2" s="34"/>
      <c r="U2" s="34"/>
      <c r="V2" s="34"/>
      <c r="W2" s="34"/>
      <c r="X2" s="34"/>
      <c r="Y2" s="34"/>
      <c r="Z2" s="34" t="e">
        <f>[1]Gesamtbewertung!B7</f>
        <v>#REF!</v>
      </c>
      <c r="AA2" s="34" t="e">
        <f>[1]Gesamtbewertung!C7</f>
        <v>#REF!</v>
      </c>
      <c r="AB2" s="34" t="e">
        <f>[1]Gesamtbewertung!B8</f>
        <v>#REF!</v>
      </c>
      <c r="AC2" s="34" t="e">
        <f>[1]Gesamtbewertung!C8</f>
        <v>#REF!</v>
      </c>
      <c r="AD2" s="34" t="e">
        <f>[1]Gesamtbewertung!#REF!</f>
        <v>#REF!</v>
      </c>
      <c r="AE2" s="34" t="e">
        <f>[1]Gesamtbewertung!B5</f>
        <v>#REF!</v>
      </c>
      <c r="AF2" s="34">
        <f>[1]Gesamtbewertung!B4</f>
        <v>0</v>
      </c>
      <c r="AG2" s="34" t="e">
        <f>[1]Gesamtbewertung!B6</f>
        <v>#REF!</v>
      </c>
      <c r="AH2" s="34" t="e">
        <f>[1]Gesamtbewertung!E6</f>
        <v>#REF!</v>
      </c>
      <c r="AI2" s="34" t="e">
        <f>[1]Gesamtbewertung!#REF!</f>
        <v>#REF!</v>
      </c>
      <c r="AJ2" s="34" t="str">
        <f t="shared" ref="AJ2:AJ9" si="0">A9</f>
        <v>1. Zielformulierung, Theorie, Methode</v>
      </c>
      <c r="AK2" s="34" t="str">
        <f t="shared" ref="AK2:AK9" si="1">A9</f>
        <v>1. Zielformulierung, Theorie, Methode</v>
      </c>
      <c r="AL2" s="34" t="str">
        <f t="shared" ref="AL2:AL9" si="2">IF(F9=$C$8,$C9,IF(F9=$D$8,$D9,IF(F9=$E$8,$E9,"")))</f>
        <v/>
      </c>
      <c r="AM2" s="38">
        <f t="shared" ref="AM2:AM9" si="3">F9</f>
        <v>0.15</v>
      </c>
      <c r="AN2" s="34">
        <f>L9</f>
        <v>0</v>
      </c>
      <c r="AO2" s="34" t="e">
        <f>[1]Gesamtbewertung!$C$13</f>
        <v>#REF!</v>
      </c>
      <c r="AP2" s="34"/>
    </row>
    <row r="3" spans="1:42" s="39" customFormat="1" ht="15.75">
      <c r="A3" s="40" t="str">
        <f>Gesamtbewertung!A4</f>
        <v>Titel der CAS-Arbeit</v>
      </c>
      <c r="B3" s="134">
        <f>Gesamtbewertung!B4</f>
        <v>0</v>
      </c>
      <c r="C3" s="134"/>
      <c r="D3" s="134"/>
      <c r="E3" s="134"/>
      <c r="F3" s="134"/>
      <c r="G3" s="41"/>
      <c r="H3" s="41"/>
      <c r="I3" s="28"/>
      <c r="J3" s="36"/>
      <c r="K3" s="42"/>
      <c r="L3" s="43"/>
      <c r="N3" s="34"/>
      <c r="O3" s="34"/>
      <c r="P3" s="34"/>
      <c r="Q3" s="34"/>
      <c r="R3" s="34"/>
      <c r="S3" s="34"/>
      <c r="T3" s="34"/>
      <c r="U3" s="34"/>
      <c r="V3" s="34"/>
      <c r="W3" s="34"/>
      <c r="X3" s="34"/>
      <c r="Y3" s="34"/>
      <c r="Z3" s="34"/>
      <c r="AA3" s="34"/>
      <c r="AB3" s="34"/>
      <c r="AC3" s="34"/>
      <c r="AD3" s="34"/>
      <c r="AE3" s="34"/>
      <c r="AF3" s="34"/>
      <c r="AG3" s="34"/>
      <c r="AH3" s="34"/>
      <c r="AI3" s="34"/>
      <c r="AJ3" s="34" t="str">
        <f t="shared" si="0"/>
        <v>Ziele, Fragestellung und deren Abgrenzung</v>
      </c>
      <c r="AK3" s="34" t="str">
        <f t="shared" si="1"/>
        <v>Ziele, Fragestellung und deren Abgrenzung</v>
      </c>
      <c r="AL3" s="34" t="str">
        <f t="shared" si="2"/>
        <v/>
      </c>
      <c r="AM3" s="38">
        <f t="shared" si="3"/>
        <v>0</v>
      </c>
      <c r="AN3" s="34">
        <f t="shared" ref="AN3:AN66" si="4">L10</f>
        <v>2.1</v>
      </c>
      <c r="AO3" s="34"/>
      <c r="AP3" s="34"/>
    </row>
    <row r="4" spans="1:42" s="42" customFormat="1" ht="15.75">
      <c r="A4" s="40" t="s">
        <v>55</v>
      </c>
      <c r="B4" s="135" t="str">
        <f>Gesamtbewertung!B3</f>
        <v>Verf. Vorname</v>
      </c>
      <c r="C4" s="135"/>
      <c r="D4" s="135" t="str">
        <f>Gesamtbewertung!C3</f>
        <v>Verf. Nachname</v>
      </c>
      <c r="E4" s="135"/>
      <c r="F4" s="44"/>
      <c r="G4" s="44"/>
      <c r="H4" s="44"/>
      <c r="I4" s="28"/>
      <c r="J4" s="36"/>
      <c r="K4" s="45"/>
      <c r="L4" s="46"/>
      <c r="N4" s="47"/>
      <c r="O4" s="47"/>
      <c r="P4" s="47"/>
      <c r="Q4" s="47"/>
      <c r="R4" s="47"/>
      <c r="S4" s="47"/>
      <c r="T4" s="47"/>
      <c r="U4" s="47"/>
      <c r="V4" s="47"/>
      <c r="W4" s="47"/>
      <c r="X4" s="47"/>
      <c r="Y4" s="47"/>
      <c r="Z4" s="47"/>
      <c r="AA4" s="47"/>
      <c r="AB4" s="47"/>
      <c r="AC4" s="47"/>
      <c r="AD4" s="47"/>
      <c r="AE4" s="47"/>
      <c r="AF4" s="47"/>
      <c r="AG4" s="47"/>
      <c r="AH4" s="47"/>
      <c r="AI4" s="47"/>
      <c r="AJ4" s="34" t="str">
        <f t="shared" si="0"/>
        <v>Aktualität und Repräsentativität der Quellen (Fachliteratur) aus Wissenschaft und Praxis</v>
      </c>
      <c r="AK4" s="34" t="str">
        <f t="shared" si="1"/>
        <v>Aktualität und Repräsentativität der Quellen (Fachliteratur) aus Wissenschaft und Praxis</v>
      </c>
      <c r="AL4" s="34" t="str">
        <f t="shared" si="2"/>
        <v/>
      </c>
      <c r="AM4" s="38">
        <f t="shared" si="3"/>
        <v>0</v>
      </c>
      <c r="AN4" s="34">
        <f t="shared" si="4"/>
        <v>3.1</v>
      </c>
      <c r="AO4" s="47"/>
      <c r="AP4" s="47"/>
    </row>
    <row r="5" spans="1:42" ht="14.65" customHeight="1">
      <c r="L5" s="37"/>
      <c r="N5" s="47"/>
      <c r="O5" s="47"/>
      <c r="P5" s="47"/>
      <c r="Q5" s="47"/>
      <c r="R5" s="47"/>
      <c r="S5" s="47"/>
      <c r="T5" s="47"/>
      <c r="U5" s="47"/>
      <c r="V5" s="47"/>
      <c r="W5" s="47"/>
      <c r="X5" s="47"/>
      <c r="Y5" s="47"/>
      <c r="Z5" s="47"/>
      <c r="AA5" s="47"/>
      <c r="AB5" s="47"/>
      <c r="AC5" s="47"/>
      <c r="AD5" s="47"/>
      <c r="AE5" s="47"/>
      <c r="AF5" s="47"/>
      <c r="AG5" s="47"/>
      <c r="AH5" s="47"/>
      <c r="AI5" s="47"/>
      <c r="AJ5" s="34" t="str">
        <f t="shared" si="0"/>
        <v>Verknüpfung der Quelleninhalte mit eigenen Gedanken / Kritische Reflexion</v>
      </c>
      <c r="AK5" s="34" t="str">
        <f t="shared" si="1"/>
        <v>Verknüpfung der Quelleninhalte mit eigenen Gedanken / Kritische Reflexion</v>
      </c>
      <c r="AL5" s="34" t="str">
        <f t="shared" si="2"/>
        <v/>
      </c>
      <c r="AM5" s="38">
        <f t="shared" si="3"/>
        <v>0</v>
      </c>
      <c r="AN5" s="34">
        <f t="shared" si="4"/>
        <v>3.1</v>
      </c>
      <c r="AO5" s="47"/>
      <c r="AP5" s="47"/>
    </row>
    <row r="6" spans="1:42" ht="39.75" customHeight="1">
      <c r="A6" s="48" t="s">
        <v>56</v>
      </c>
      <c r="B6" s="49" t="s">
        <v>17</v>
      </c>
      <c r="C6" s="49" t="s">
        <v>57</v>
      </c>
      <c r="D6" s="49" t="s">
        <v>58</v>
      </c>
      <c r="E6" s="50" t="s">
        <v>59</v>
      </c>
      <c r="F6" s="49" t="s">
        <v>60</v>
      </c>
      <c r="G6" s="136" t="s">
        <v>61</v>
      </c>
      <c r="H6" s="137"/>
      <c r="I6" s="51" t="s">
        <v>62</v>
      </c>
      <c r="J6" s="52" t="s">
        <v>63</v>
      </c>
      <c r="K6" s="53" t="s">
        <v>64</v>
      </c>
      <c r="L6" s="54" t="s">
        <v>65</v>
      </c>
      <c r="N6" s="34"/>
      <c r="O6" s="34"/>
      <c r="P6" s="34"/>
      <c r="Q6" s="34"/>
      <c r="R6" s="34"/>
      <c r="S6" s="34"/>
      <c r="T6" s="34"/>
      <c r="U6" s="34"/>
      <c r="V6" s="34"/>
      <c r="W6" s="34"/>
      <c r="X6" s="34"/>
      <c r="Y6" s="34"/>
      <c r="Z6" s="34"/>
      <c r="AA6" s="34"/>
      <c r="AB6" s="34"/>
      <c r="AC6" s="34"/>
      <c r="AD6" s="34"/>
      <c r="AE6" s="34"/>
      <c r="AF6" s="34"/>
      <c r="AG6" s="34"/>
      <c r="AH6" s="34"/>
      <c r="AI6" s="34"/>
      <c r="AJ6" s="34" t="str">
        <f t="shared" si="0"/>
        <v>Klärung und Verwendung der (Fach)-Begriffe</v>
      </c>
      <c r="AK6" s="34" t="str">
        <f t="shared" si="1"/>
        <v>Klärung und Verwendung der (Fach)-Begriffe</v>
      </c>
      <c r="AL6" s="34" t="str">
        <f t="shared" si="2"/>
        <v/>
      </c>
      <c r="AM6" s="38">
        <f t="shared" si="3"/>
        <v>0</v>
      </c>
      <c r="AN6" s="34">
        <f t="shared" si="4"/>
        <v>0</v>
      </c>
      <c r="AO6" s="34"/>
      <c r="AP6" s="34"/>
    </row>
    <row r="7" spans="1:42" ht="18.75">
      <c r="A7" s="48"/>
      <c r="B7" s="49"/>
      <c r="C7" s="55">
        <v>3</v>
      </c>
      <c r="D7" s="55">
        <v>2</v>
      </c>
      <c r="E7" s="55">
        <v>1</v>
      </c>
      <c r="F7" s="56"/>
      <c r="G7" s="57" t="s">
        <v>66</v>
      </c>
      <c r="H7" s="58"/>
      <c r="I7" s="51"/>
      <c r="J7" s="59"/>
      <c r="K7" s="53"/>
      <c r="L7" s="60"/>
      <c r="N7" s="34"/>
      <c r="O7" s="34"/>
      <c r="P7" s="34"/>
      <c r="Q7" s="34"/>
      <c r="R7" s="34"/>
      <c r="S7" s="34"/>
      <c r="T7" s="34"/>
      <c r="U7" s="34"/>
      <c r="V7" s="34"/>
      <c r="W7" s="34"/>
      <c r="X7" s="34"/>
      <c r="Y7" s="34"/>
      <c r="Z7" s="34"/>
      <c r="AA7" s="34"/>
      <c r="AB7" s="34"/>
      <c r="AC7" s="34"/>
      <c r="AD7" s="34"/>
      <c r="AE7" s="34"/>
      <c r="AF7" s="34"/>
      <c r="AG7" s="34"/>
      <c r="AH7" s="34"/>
      <c r="AI7" s="34"/>
      <c r="AJ7" s="34" t="str">
        <f t="shared" si="0"/>
        <v>Passung der Methoden zur Fragestellung</v>
      </c>
      <c r="AK7" s="34" t="str">
        <f t="shared" si="1"/>
        <v>Passung der Methoden zur Fragestellung</v>
      </c>
      <c r="AL7" s="34" t="str">
        <f t="shared" si="2"/>
        <v/>
      </c>
      <c r="AM7" s="38">
        <f t="shared" si="3"/>
        <v>0</v>
      </c>
      <c r="AN7" s="34">
        <f t="shared" si="4"/>
        <v>2.1</v>
      </c>
      <c r="AO7" s="34"/>
      <c r="AP7" s="34"/>
    </row>
    <row r="8" spans="1:42" ht="17.649999999999999" hidden="1" customHeight="1">
      <c r="A8" s="48"/>
      <c r="B8" s="49"/>
      <c r="C8" s="49">
        <v>5</v>
      </c>
      <c r="D8" s="49">
        <v>3.5</v>
      </c>
      <c r="E8" s="49">
        <v>2</v>
      </c>
      <c r="F8" s="61"/>
      <c r="G8" s="61"/>
      <c r="H8" s="61"/>
      <c r="I8" s="51"/>
      <c r="J8" s="59"/>
      <c r="K8" s="53"/>
      <c r="L8" s="60"/>
      <c r="N8" s="34"/>
      <c r="O8" s="34"/>
      <c r="P8" s="34"/>
      <c r="Q8" s="34"/>
      <c r="R8" s="34"/>
      <c r="S8" s="34"/>
      <c r="T8" s="34"/>
      <c r="U8" s="34"/>
      <c r="V8" s="34"/>
      <c r="W8" s="34"/>
      <c r="X8" s="34"/>
      <c r="Y8" s="34"/>
      <c r="Z8" s="34"/>
      <c r="AA8" s="34"/>
      <c r="AB8" s="34"/>
      <c r="AC8" s="34"/>
      <c r="AD8" s="34"/>
      <c r="AE8" s="34"/>
      <c r="AF8" s="34"/>
      <c r="AG8" s="34"/>
      <c r="AH8" s="34"/>
      <c r="AI8" s="34"/>
      <c r="AJ8" s="34">
        <f t="shared" si="0"/>
        <v>0</v>
      </c>
      <c r="AK8" s="34">
        <f t="shared" si="1"/>
        <v>0</v>
      </c>
      <c r="AL8" s="34" t="str">
        <f t="shared" si="2"/>
        <v/>
      </c>
      <c r="AM8" s="38">
        <f t="shared" si="3"/>
        <v>0</v>
      </c>
      <c r="AN8" s="34">
        <f t="shared" si="4"/>
        <v>0</v>
      </c>
      <c r="AO8" s="34"/>
      <c r="AP8" s="34"/>
    </row>
    <row r="9" spans="1:42" ht="25.15" customHeight="1">
      <c r="A9" s="62" t="s">
        <v>67</v>
      </c>
      <c r="B9" s="62"/>
      <c r="C9" s="62"/>
      <c r="D9" s="62"/>
      <c r="E9" s="62"/>
      <c r="F9" s="140">
        <v>0.15</v>
      </c>
      <c r="G9" s="141" t="str">
        <f>K9&amp;" von"</f>
        <v>0 von</v>
      </c>
      <c r="H9" s="141">
        <f>J9</f>
        <v>25</v>
      </c>
      <c r="I9" s="63"/>
      <c r="J9" s="64">
        <f>SUM(J10:J15)</f>
        <v>25</v>
      </c>
      <c r="K9" s="65">
        <f>SUM(K10:K15)</f>
        <v>0</v>
      </c>
      <c r="L9" s="66"/>
      <c r="N9" s="34"/>
      <c r="O9" s="34"/>
      <c r="P9" s="34"/>
      <c r="Q9" s="34"/>
      <c r="R9" s="34"/>
      <c r="S9" s="34"/>
      <c r="T9" s="34"/>
      <c r="U9" s="34"/>
      <c r="V9" s="34"/>
      <c r="W9" s="34"/>
      <c r="X9" s="34"/>
      <c r="Y9" s="34"/>
      <c r="Z9" s="34"/>
      <c r="AA9" s="34"/>
      <c r="AB9" s="34"/>
      <c r="AC9" s="34"/>
      <c r="AD9" s="34"/>
      <c r="AE9" s="34"/>
      <c r="AF9" s="34"/>
      <c r="AG9" s="34"/>
      <c r="AH9" s="34"/>
      <c r="AI9" s="34"/>
      <c r="AJ9" s="34" t="str">
        <f t="shared" si="0"/>
        <v xml:space="preserve">2. Vorgehensweise, Analyse, Lösungsentwicklung </v>
      </c>
      <c r="AK9" s="34" t="str">
        <f t="shared" si="1"/>
        <v xml:space="preserve">2. Vorgehensweise, Analyse, Lösungsentwicklung </v>
      </c>
      <c r="AL9" s="34" t="str">
        <f t="shared" si="2"/>
        <v/>
      </c>
      <c r="AM9" s="38">
        <f t="shared" si="3"/>
        <v>0.5</v>
      </c>
      <c r="AN9" s="34">
        <f t="shared" si="4"/>
        <v>0</v>
      </c>
      <c r="AO9" s="34"/>
      <c r="AP9" s="34"/>
    </row>
    <row r="10" spans="1:42" ht="57">
      <c r="A10" s="67" t="s">
        <v>68</v>
      </c>
      <c r="B10" s="68">
        <v>1</v>
      </c>
      <c r="C10" s="67" t="s">
        <v>69</v>
      </c>
      <c r="D10" s="67" t="s">
        <v>70</v>
      </c>
      <c r="E10" s="67" t="s">
        <v>71</v>
      </c>
      <c r="F10" s="69"/>
      <c r="G10" s="132"/>
      <c r="H10" s="133"/>
      <c r="I10" s="70">
        <f t="shared" ref="I10:I37" si="5">IF(F10=$C$7,$C$8,IF(F10=$D$7,$D$8,IF(F10=$E$7,$E$8,0)))</f>
        <v>0</v>
      </c>
      <c r="J10" s="71">
        <f t="shared" ref="J10:J15" si="6">B10*$C$8</f>
        <v>5</v>
      </c>
      <c r="K10" s="53">
        <f t="shared" ref="K10:K15" si="7">B10*I10</f>
        <v>0</v>
      </c>
      <c r="L10" s="72">
        <v>2.1</v>
      </c>
      <c r="N10" s="34"/>
      <c r="O10" s="34"/>
      <c r="P10" s="34"/>
      <c r="Q10" s="34"/>
      <c r="R10" s="34"/>
      <c r="S10" s="34"/>
      <c r="T10" s="34"/>
      <c r="U10" s="34"/>
      <c r="V10" s="34"/>
      <c r="W10" s="34"/>
      <c r="X10" s="34"/>
      <c r="Y10" s="34"/>
      <c r="Z10" s="34"/>
      <c r="AA10" s="34"/>
      <c r="AB10" s="34"/>
      <c r="AC10" s="34"/>
      <c r="AD10" s="34"/>
      <c r="AE10" s="34"/>
      <c r="AF10" s="34"/>
      <c r="AG10" s="34"/>
      <c r="AH10" s="34"/>
      <c r="AI10" s="34"/>
      <c r="AJ10" s="34" t="e">
        <f>#REF!</f>
        <v>#REF!</v>
      </c>
      <c r="AK10" s="34" t="e">
        <f>#REF!</f>
        <v>#REF!</v>
      </c>
      <c r="AL10" s="34" t="e">
        <f>IF(#REF!=$C$8,#REF!,IF(#REF!=$D$8,#REF!,IF(#REF!=$E$8,#REF!,"")))</f>
        <v>#REF!</v>
      </c>
      <c r="AM10" s="38" t="e">
        <f>#REF!</f>
        <v>#REF!</v>
      </c>
      <c r="AN10" s="34" t="e">
        <f>#REF!</f>
        <v>#REF!</v>
      </c>
      <c r="AO10" s="34"/>
      <c r="AP10" s="34"/>
    </row>
    <row r="11" spans="1:42" ht="99.75">
      <c r="A11" s="67" t="s">
        <v>72</v>
      </c>
      <c r="B11" s="68">
        <v>1</v>
      </c>
      <c r="C11" s="67" t="s">
        <v>73</v>
      </c>
      <c r="D11" s="67" t="s">
        <v>74</v>
      </c>
      <c r="E11" s="67" t="s">
        <v>75</v>
      </c>
      <c r="F11" s="69"/>
      <c r="G11" s="132"/>
      <c r="H11" s="133"/>
      <c r="I11" s="70">
        <f t="shared" si="5"/>
        <v>0</v>
      </c>
      <c r="J11" s="71">
        <f t="shared" si="6"/>
        <v>5</v>
      </c>
      <c r="K11" s="53">
        <f t="shared" si="7"/>
        <v>0</v>
      </c>
      <c r="L11" s="72">
        <v>3.1</v>
      </c>
      <c r="N11" s="34"/>
      <c r="O11" s="34"/>
      <c r="P11" s="34"/>
      <c r="Q11" s="34"/>
      <c r="R11" s="34"/>
      <c r="S11" s="34"/>
      <c r="T11" s="34"/>
      <c r="U11" s="34"/>
      <c r="V11" s="34"/>
      <c r="W11" s="34"/>
      <c r="X11" s="34"/>
      <c r="Y11" s="34"/>
      <c r="Z11" s="34"/>
      <c r="AA11" s="34"/>
      <c r="AB11" s="34"/>
      <c r="AC11" s="34"/>
      <c r="AD11" s="34"/>
      <c r="AE11" s="34"/>
      <c r="AF11" s="34"/>
      <c r="AG11" s="34"/>
      <c r="AH11" s="34"/>
      <c r="AI11" s="34"/>
      <c r="AJ11" s="34" t="e">
        <f>#REF!</f>
        <v>#REF!</v>
      </c>
      <c r="AK11" s="34" t="e">
        <f>#REF!</f>
        <v>#REF!</v>
      </c>
      <c r="AL11" s="34" t="e">
        <f>IF(#REF!=$C$8,#REF!,IF(#REF!=$D$8,#REF!,IF(#REF!=$E$8,#REF!,"")))</f>
        <v>#REF!</v>
      </c>
      <c r="AM11" s="38" t="e">
        <f>#REF!</f>
        <v>#REF!</v>
      </c>
      <c r="AN11" s="34" t="e">
        <f>#REF!</f>
        <v>#REF!</v>
      </c>
      <c r="AO11" s="34"/>
      <c r="AP11" s="34"/>
    </row>
    <row r="12" spans="1:42" ht="114">
      <c r="A12" s="67" t="s">
        <v>76</v>
      </c>
      <c r="B12" s="68">
        <v>1</v>
      </c>
      <c r="C12" s="67" t="s">
        <v>77</v>
      </c>
      <c r="D12" s="67" t="s">
        <v>78</v>
      </c>
      <c r="E12" s="67" t="s">
        <v>79</v>
      </c>
      <c r="F12" s="69"/>
      <c r="G12" s="132"/>
      <c r="H12" s="133"/>
      <c r="I12" s="70">
        <f t="shared" si="5"/>
        <v>0</v>
      </c>
      <c r="J12" s="71">
        <f t="shared" si="6"/>
        <v>5</v>
      </c>
      <c r="K12" s="53">
        <f t="shared" si="7"/>
        <v>0</v>
      </c>
      <c r="L12" s="73">
        <v>3.1</v>
      </c>
      <c r="N12" s="34"/>
      <c r="O12" s="34"/>
      <c r="P12" s="34"/>
      <c r="Q12" s="34"/>
      <c r="R12" s="34"/>
      <c r="S12" s="34"/>
      <c r="T12" s="34"/>
      <c r="U12" s="34"/>
      <c r="V12" s="34"/>
      <c r="W12" s="34"/>
      <c r="X12" s="34"/>
      <c r="Y12" s="34"/>
      <c r="Z12" s="34"/>
      <c r="AA12" s="34"/>
      <c r="AB12" s="34"/>
      <c r="AC12" s="34"/>
      <c r="AD12" s="34"/>
      <c r="AE12" s="34"/>
      <c r="AF12" s="34"/>
      <c r="AG12" s="34"/>
      <c r="AH12" s="34"/>
      <c r="AI12" s="34"/>
      <c r="AJ12" s="34" t="e">
        <f>#REF!</f>
        <v>#REF!</v>
      </c>
      <c r="AK12" s="34" t="e">
        <f>#REF!</f>
        <v>#REF!</v>
      </c>
      <c r="AL12" s="34" t="e">
        <f>IF(#REF!=$C$8,#REF!,IF(#REF!=$D$8,#REF!,IF(#REF!=$E$8,#REF!,"")))</f>
        <v>#REF!</v>
      </c>
      <c r="AM12" s="38" t="e">
        <f>#REF!</f>
        <v>#REF!</v>
      </c>
      <c r="AN12" s="34" t="e">
        <f>#REF!</f>
        <v>#REF!</v>
      </c>
      <c r="AO12" s="34"/>
      <c r="AP12" s="34"/>
    </row>
    <row r="13" spans="1:42" ht="71.25">
      <c r="A13" s="67" t="s">
        <v>80</v>
      </c>
      <c r="B13" s="68">
        <v>1</v>
      </c>
      <c r="C13" s="67" t="s">
        <v>81</v>
      </c>
      <c r="D13" s="67" t="s">
        <v>82</v>
      </c>
      <c r="E13" s="67" t="s">
        <v>83</v>
      </c>
      <c r="F13" s="69"/>
      <c r="G13" s="132"/>
      <c r="H13" s="133"/>
      <c r="I13" s="70">
        <f t="shared" si="5"/>
        <v>0</v>
      </c>
      <c r="J13" s="71">
        <f t="shared" si="6"/>
        <v>5</v>
      </c>
      <c r="K13" s="53">
        <f t="shared" si="7"/>
        <v>0</v>
      </c>
      <c r="L13" s="72"/>
      <c r="N13" s="34"/>
      <c r="O13" s="34"/>
      <c r="P13" s="34"/>
      <c r="Q13" s="34"/>
      <c r="R13" s="34"/>
      <c r="S13" s="34"/>
      <c r="T13" s="34"/>
      <c r="U13" s="34"/>
      <c r="V13" s="34"/>
      <c r="W13" s="34"/>
      <c r="X13" s="34"/>
      <c r="Y13" s="34"/>
      <c r="Z13" s="34"/>
      <c r="AA13" s="34"/>
      <c r="AB13" s="34"/>
      <c r="AC13" s="34"/>
      <c r="AD13" s="34"/>
      <c r="AE13" s="34"/>
      <c r="AF13" s="34"/>
      <c r="AG13" s="34"/>
      <c r="AH13" s="34"/>
      <c r="AI13" s="34"/>
      <c r="AJ13" s="34" t="str">
        <f>A23</f>
        <v>Berücksichtigung von Nachhaltigkeit</v>
      </c>
      <c r="AK13" s="34" t="str">
        <f>A23</f>
        <v>Berücksichtigung von Nachhaltigkeit</v>
      </c>
      <c r="AL13" s="34" t="str">
        <f>IF(F23=$C$8,$C23,IF(F23=$D$8,$D23,IF(F23=$E$8,$E23,"")))</f>
        <v/>
      </c>
      <c r="AM13" s="38">
        <f>F23</f>
        <v>0</v>
      </c>
      <c r="AN13" s="34">
        <f>L23</f>
        <v>3.1</v>
      </c>
      <c r="AO13" s="34"/>
      <c r="AP13" s="34"/>
    </row>
    <row r="14" spans="1:42" ht="43.5">
      <c r="A14" s="67" t="s">
        <v>84</v>
      </c>
      <c r="B14" s="68">
        <v>1</v>
      </c>
      <c r="C14" s="67" t="s">
        <v>85</v>
      </c>
      <c r="D14" s="67" t="s">
        <v>86</v>
      </c>
      <c r="E14" s="67" t="s">
        <v>87</v>
      </c>
      <c r="F14" s="69"/>
      <c r="G14" s="132"/>
      <c r="H14" s="133"/>
      <c r="I14" s="70">
        <f t="shared" si="5"/>
        <v>0</v>
      </c>
      <c r="J14" s="71">
        <f t="shared" si="6"/>
        <v>5</v>
      </c>
      <c r="K14" s="53">
        <f t="shared" si="7"/>
        <v>0</v>
      </c>
      <c r="L14" s="73">
        <v>2.1</v>
      </c>
      <c r="N14" s="34"/>
      <c r="O14" s="34"/>
      <c r="P14" s="34"/>
      <c r="Q14" s="34"/>
      <c r="R14" s="34"/>
      <c r="S14" s="34"/>
      <c r="T14" s="34"/>
      <c r="U14" s="34"/>
      <c r="V14" s="34"/>
      <c r="W14" s="34"/>
      <c r="X14" s="34"/>
      <c r="Y14" s="34"/>
      <c r="Z14" s="34"/>
      <c r="AA14" s="34"/>
      <c r="AB14" s="34"/>
      <c r="AC14" s="34"/>
      <c r="AD14" s="34"/>
      <c r="AE14" s="34"/>
      <c r="AF14" s="34"/>
      <c r="AG14" s="34"/>
      <c r="AH14" s="34"/>
      <c r="AI14" s="34"/>
      <c r="AJ14" s="34" t="e">
        <f>#REF!</f>
        <v>#REF!</v>
      </c>
      <c r="AK14" s="34" t="e">
        <f>#REF!</f>
        <v>#REF!</v>
      </c>
      <c r="AL14" s="34" t="e">
        <f>IF(#REF!=$C$8,#REF!,IF(#REF!=$D$8,#REF!,IF(#REF!=$E$8,#REF!,"")))</f>
        <v>#REF!</v>
      </c>
      <c r="AM14" s="38" t="e">
        <f>#REF!</f>
        <v>#REF!</v>
      </c>
      <c r="AN14" s="34" t="e">
        <f>#REF!</f>
        <v>#REF!</v>
      </c>
      <c r="AO14" s="34"/>
      <c r="AP14" s="34"/>
    </row>
    <row r="15" spans="1:42" ht="74.25" hidden="1" customHeight="1" outlineLevel="2">
      <c r="A15" s="67"/>
      <c r="B15" s="68"/>
      <c r="C15" s="67"/>
      <c r="D15" s="67"/>
      <c r="E15" s="67"/>
      <c r="F15" s="69"/>
      <c r="G15" s="74"/>
      <c r="H15" s="75"/>
      <c r="I15" s="70">
        <f t="shared" si="5"/>
        <v>0</v>
      </c>
      <c r="J15" s="71">
        <f t="shared" si="6"/>
        <v>0</v>
      </c>
      <c r="K15" s="53">
        <f t="shared" si="7"/>
        <v>0</v>
      </c>
      <c r="L15" s="73"/>
      <c r="N15" s="34"/>
      <c r="O15" s="34"/>
      <c r="P15" s="34"/>
      <c r="Q15" s="34"/>
      <c r="R15" s="34"/>
      <c r="S15" s="34"/>
      <c r="T15" s="34"/>
      <c r="U15" s="34"/>
      <c r="V15" s="34"/>
      <c r="W15" s="34"/>
      <c r="X15" s="34"/>
      <c r="Y15" s="34"/>
      <c r="Z15" s="34"/>
      <c r="AA15" s="34"/>
      <c r="AB15" s="34"/>
      <c r="AC15" s="34"/>
      <c r="AD15" s="34"/>
      <c r="AE15" s="34"/>
      <c r="AF15" s="34"/>
      <c r="AG15" s="34"/>
      <c r="AH15" s="34"/>
      <c r="AI15" s="34"/>
      <c r="AJ15" s="34" t="e">
        <f>#REF!</f>
        <v>#REF!</v>
      </c>
      <c r="AK15" s="34" t="e">
        <f>#REF!</f>
        <v>#REF!</v>
      </c>
      <c r="AL15" s="34" t="e">
        <f>IF(#REF!=$C$8,#REF!,IF(#REF!=$D$8,#REF!,IF(#REF!=$E$8,#REF!,"")))</f>
        <v>#REF!</v>
      </c>
      <c r="AM15" s="38" t="e">
        <f>#REF!</f>
        <v>#REF!</v>
      </c>
      <c r="AN15" s="34" t="e">
        <f>#REF!</f>
        <v>#REF!</v>
      </c>
      <c r="AO15" s="34"/>
      <c r="AP15" s="34"/>
    </row>
    <row r="16" spans="1:42" ht="25.15" customHeight="1" collapsed="1">
      <c r="A16" s="62" t="s">
        <v>88</v>
      </c>
      <c r="B16" s="62"/>
      <c r="C16" s="62"/>
      <c r="D16" s="62"/>
      <c r="E16" s="62"/>
      <c r="F16" s="140">
        <v>0.5</v>
      </c>
      <c r="G16" s="141" t="str">
        <f>K16&amp;" von"</f>
        <v>0 von</v>
      </c>
      <c r="H16" s="141">
        <f>J16</f>
        <v>35</v>
      </c>
      <c r="I16" s="63"/>
      <c r="J16" s="64">
        <f>SUM(J17:J23)</f>
        <v>35</v>
      </c>
      <c r="K16" s="65">
        <f>SUM(K17:K23)</f>
        <v>0</v>
      </c>
      <c r="L16" s="66"/>
      <c r="N16" s="34"/>
      <c r="O16" s="34"/>
      <c r="P16" s="34"/>
      <c r="Q16" s="34"/>
      <c r="R16" s="34"/>
      <c r="S16" s="34"/>
      <c r="T16" s="34"/>
      <c r="U16" s="34"/>
      <c r="V16" s="34"/>
      <c r="W16" s="34"/>
      <c r="X16" s="34"/>
      <c r="Y16" s="34"/>
      <c r="Z16" s="34"/>
      <c r="AA16" s="34"/>
      <c r="AB16" s="34"/>
      <c r="AC16" s="34"/>
      <c r="AD16" s="34"/>
      <c r="AE16" s="34"/>
      <c r="AF16" s="34"/>
      <c r="AG16" s="34"/>
      <c r="AH16" s="34"/>
      <c r="AI16" s="34"/>
      <c r="AJ16" s="34">
        <f>A24</f>
        <v>0</v>
      </c>
      <c r="AK16" s="34">
        <f>A24</f>
        <v>0</v>
      </c>
      <c r="AL16" s="34" t="str">
        <f>IF(F24=$C$8,$C24,IF(F24=$D$8,$D24,IF(F24=$E$8,$E24,"")))</f>
        <v/>
      </c>
      <c r="AM16" s="38">
        <f>F24</f>
        <v>0</v>
      </c>
      <c r="AN16" s="34">
        <f>L24</f>
        <v>0</v>
      </c>
      <c r="AO16" s="34"/>
      <c r="AP16" s="34"/>
    </row>
    <row r="17" spans="1:42" ht="62.1" customHeight="1">
      <c r="A17" s="67" t="s">
        <v>89</v>
      </c>
      <c r="B17" s="68">
        <v>1</v>
      </c>
      <c r="C17" s="67" t="s">
        <v>90</v>
      </c>
      <c r="D17" s="67" t="s">
        <v>91</v>
      </c>
      <c r="E17" s="67" t="s">
        <v>92</v>
      </c>
      <c r="F17" s="69"/>
      <c r="G17" s="130"/>
      <c r="H17" s="131"/>
      <c r="I17" s="70">
        <f t="shared" si="5"/>
        <v>0</v>
      </c>
      <c r="J17" s="71">
        <f t="shared" ref="J17:J24" si="8">B17*$C$8</f>
        <v>5</v>
      </c>
      <c r="K17" s="53">
        <f t="shared" ref="K17:K24" si="9">B17*I17</f>
        <v>0</v>
      </c>
      <c r="L17" s="72">
        <v>1.1000000000000001</v>
      </c>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8"/>
      <c r="AN17" s="34"/>
      <c r="AO17" s="34"/>
      <c r="AP17" s="34"/>
    </row>
    <row r="18" spans="1:42" ht="45.6" customHeight="1">
      <c r="A18" s="67" t="s">
        <v>93</v>
      </c>
      <c r="B18" s="68">
        <v>1</v>
      </c>
      <c r="C18" s="67" t="s">
        <v>90</v>
      </c>
      <c r="D18" s="67" t="s">
        <v>91</v>
      </c>
      <c r="E18" s="67" t="s">
        <v>92</v>
      </c>
      <c r="F18" s="69"/>
      <c r="G18" s="130"/>
      <c r="H18" s="131"/>
      <c r="I18" s="70">
        <f t="shared" si="5"/>
        <v>0</v>
      </c>
      <c r="J18" s="71">
        <f t="shared" si="8"/>
        <v>5</v>
      </c>
      <c r="K18" s="53">
        <f t="shared" si="9"/>
        <v>0</v>
      </c>
      <c r="L18" s="72">
        <v>1.1000000000000001</v>
      </c>
      <c r="N18" s="34"/>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8"/>
      <c r="AN18" s="34"/>
      <c r="AO18" s="34"/>
      <c r="AP18" s="34"/>
    </row>
    <row r="19" spans="1:42" ht="45" customHeight="1">
      <c r="A19" s="67" t="s">
        <v>94</v>
      </c>
      <c r="B19" s="68">
        <v>1</v>
      </c>
      <c r="C19" s="67" t="s">
        <v>90</v>
      </c>
      <c r="D19" s="67" t="s">
        <v>91</v>
      </c>
      <c r="E19" s="67" t="s">
        <v>92</v>
      </c>
      <c r="F19" s="69"/>
      <c r="G19" s="130"/>
      <c r="H19" s="131"/>
      <c r="I19" s="70">
        <f t="shared" si="5"/>
        <v>0</v>
      </c>
      <c r="J19" s="71">
        <f t="shared" si="8"/>
        <v>5</v>
      </c>
      <c r="K19" s="53">
        <f t="shared" si="9"/>
        <v>0</v>
      </c>
      <c r="L19" s="72">
        <v>1.1000000000000001</v>
      </c>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8"/>
      <c r="AN19" s="34"/>
      <c r="AO19" s="34"/>
      <c r="AP19" s="34"/>
    </row>
    <row r="20" spans="1:42" ht="45" customHeight="1">
      <c r="A20" s="67" t="s">
        <v>95</v>
      </c>
      <c r="B20" s="68">
        <v>1</v>
      </c>
      <c r="C20" s="67" t="s">
        <v>90</v>
      </c>
      <c r="D20" s="67" t="s">
        <v>91</v>
      </c>
      <c r="E20" s="67" t="s">
        <v>92</v>
      </c>
      <c r="F20" s="69"/>
      <c r="G20" s="130"/>
      <c r="H20" s="131"/>
      <c r="I20" s="70">
        <f t="shared" si="5"/>
        <v>0</v>
      </c>
      <c r="J20" s="71">
        <f t="shared" si="8"/>
        <v>5</v>
      </c>
      <c r="K20" s="53">
        <f t="shared" si="9"/>
        <v>0</v>
      </c>
      <c r="L20" s="72">
        <v>1.2</v>
      </c>
      <c r="N20" s="34"/>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8"/>
      <c r="AN20" s="34"/>
      <c r="AO20" s="34"/>
      <c r="AP20" s="34"/>
    </row>
    <row r="21" spans="1:42" ht="45" customHeight="1">
      <c r="A21" s="67" t="s">
        <v>96</v>
      </c>
      <c r="B21" s="68">
        <v>1</v>
      </c>
      <c r="C21" s="67" t="s">
        <v>90</v>
      </c>
      <c r="D21" s="67" t="s">
        <v>91</v>
      </c>
      <c r="E21" s="67" t="s">
        <v>92</v>
      </c>
      <c r="F21" s="69"/>
      <c r="G21" s="130"/>
      <c r="H21" s="131"/>
      <c r="I21" s="70">
        <f t="shared" si="5"/>
        <v>0</v>
      </c>
      <c r="J21" s="71">
        <f t="shared" si="8"/>
        <v>5</v>
      </c>
      <c r="K21" s="53">
        <f t="shared" si="9"/>
        <v>0</v>
      </c>
      <c r="L21" s="72">
        <v>1.2</v>
      </c>
      <c r="N21" s="34"/>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8"/>
      <c r="AN21" s="34"/>
      <c r="AO21" s="34"/>
      <c r="AP21" s="34"/>
    </row>
    <row r="22" spans="1:42" ht="45" customHeight="1">
      <c r="A22" s="67" t="s">
        <v>97</v>
      </c>
      <c r="B22" s="68">
        <v>1</v>
      </c>
      <c r="C22" s="67" t="s">
        <v>90</v>
      </c>
      <c r="D22" s="67" t="s">
        <v>91</v>
      </c>
      <c r="E22" s="67" t="s">
        <v>92</v>
      </c>
      <c r="F22" s="69"/>
      <c r="G22" s="130"/>
      <c r="H22" s="131"/>
      <c r="I22" s="70">
        <f t="shared" si="5"/>
        <v>0</v>
      </c>
      <c r="J22" s="71">
        <f t="shared" si="8"/>
        <v>5</v>
      </c>
      <c r="K22" s="53">
        <f t="shared" si="9"/>
        <v>0</v>
      </c>
      <c r="L22" s="72">
        <v>2.2000000000000002</v>
      </c>
      <c r="N22" s="34"/>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8"/>
      <c r="AN22" s="34"/>
      <c r="AO22" s="34"/>
      <c r="AP22" s="34"/>
    </row>
    <row r="23" spans="1:42" ht="57.75">
      <c r="A23" s="67" t="s">
        <v>98</v>
      </c>
      <c r="B23" s="68">
        <v>1</v>
      </c>
      <c r="C23" s="67" t="s">
        <v>90</v>
      </c>
      <c r="D23" s="67" t="s">
        <v>91</v>
      </c>
      <c r="E23" s="67" t="s">
        <v>92</v>
      </c>
      <c r="F23" s="69"/>
      <c r="G23" s="130"/>
      <c r="H23" s="131"/>
      <c r="I23" s="70">
        <f t="shared" si="5"/>
        <v>0</v>
      </c>
      <c r="J23" s="71">
        <f t="shared" si="8"/>
        <v>5</v>
      </c>
      <c r="K23" s="53">
        <f t="shared" si="9"/>
        <v>0</v>
      </c>
      <c r="L23" s="72">
        <v>3.1</v>
      </c>
      <c r="N23" s="34"/>
      <c r="O23" s="34"/>
      <c r="P23" s="34"/>
      <c r="Q23" s="34"/>
      <c r="R23" s="34"/>
      <c r="S23" s="34"/>
      <c r="T23" s="34"/>
      <c r="U23" s="34"/>
      <c r="V23" s="34"/>
      <c r="W23" s="34"/>
      <c r="X23" s="34"/>
      <c r="Y23" s="34"/>
      <c r="Z23" s="34"/>
      <c r="AA23" s="34"/>
      <c r="AB23" s="34"/>
      <c r="AC23" s="34"/>
      <c r="AD23" s="34"/>
      <c r="AE23" s="34"/>
      <c r="AF23" s="34"/>
      <c r="AG23" s="34"/>
      <c r="AH23" s="34"/>
      <c r="AI23" s="34"/>
      <c r="AJ23" s="34" t="str">
        <f>A28</f>
        <v>Klarheit und Signifikanz der eigenen Beiträge</v>
      </c>
      <c r="AK23" s="34" t="str">
        <f>A28</f>
        <v>Klarheit und Signifikanz der eigenen Beiträge</v>
      </c>
      <c r="AL23" s="34" t="str">
        <f>IF(F28=$C$8,$C28,IF(F28=$D$8,$D28,IF(F28=$E$8,$E28,"")))</f>
        <v/>
      </c>
      <c r="AM23" s="38">
        <f>F28</f>
        <v>0</v>
      </c>
      <c r="AN23" s="34">
        <f>L28</f>
        <v>0</v>
      </c>
      <c r="AO23" s="34"/>
      <c r="AP23" s="34"/>
    </row>
    <row r="24" spans="1:42" ht="74.25" hidden="1" customHeight="1" outlineLevel="1">
      <c r="A24" s="67"/>
      <c r="B24" s="68"/>
      <c r="C24" s="67"/>
      <c r="D24" s="67"/>
      <c r="E24" s="67"/>
      <c r="F24" s="69"/>
      <c r="G24" s="74"/>
      <c r="H24" s="75"/>
      <c r="I24" s="70">
        <f t="shared" si="5"/>
        <v>0</v>
      </c>
      <c r="J24" s="71">
        <f t="shared" si="8"/>
        <v>0</v>
      </c>
      <c r="K24" s="53">
        <f t="shared" si="9"/>
        <v>0</v>
      </c>
      <c r="L24" s="73"/>
      <c r="N24" s="34"/>
      <c r="O24" s="34"/>
      <c r="P24" s="34"/>
      <c r="Q24" s="34"/>
      <c r="R24" s="34"/>
      <c r="S24" s="34"/>
      <c r="T24" s="34"/>
      <c r="U24" s="34"/>
      <c r="V24" s="34"/>
      <c r="W24" s="34"/>
      <c r="X24" s="34"/>
      <c r="Y24" s="34"/>
      <c r="Z24" s="34"/>
      <c r="AA24" s="34"/>
      <c r="AB24" s="34"/>
      <c r="AC24" s="34"/>
      <c r="AD24" s="34"/>
      <c r="AE24" s="34"/>
      <c r="AF24" s="34"/>
      <c r="AG24" s="34"/>
      <c r="AH24" s="34"/>
      <c r="AI24" s="34"/>
      <c r="AJ24" s="34" t="str">
        <f t="shared" ref="AJ24:AJ28" si="10">A30</f>
        <v>Management bzw. Executive Summary</v>
      </c>
      <c r="AK24" s="34" t="str">
        <f t="shared" ref="AK24:AK28" si="11">A30</f>
        <v>Management bzw. Executive Summary</v>
      </c>
      <c r="AL24" s="34" t="str">
        <f t="shared" ref="AL24:AL28" si="12">IF(F30=$C$8,$C30,IF(F30=$D$8,$D30,IF(F30=$E$8,$E30,"")))</f>
        <v/>
      </c>
      <c r="AM24" s="38">
        <f t="shared" ref="AM24:AM28" si="13">F30</f>
        <v>0</v>
      </c>
      <c r="AN24" s="34">
        <f t="shared" ref="AN24:AN28" si="14">L30</f>
        <v>0</v>
      </c>
      <c r="AO24" s="34"/>
      <c r="AP24" s="34"/>
    </row>
    <row r="25" spans="1:42" ht="25.15" customHeight="1" collapsed="1">
      <c r="A25" s="62" t="s">
        <v>99</v>
      </c>
      <c r="B25" s="62"/>
      <c r="C25" s="62"/>
      <c r="D25" s="62"/>
      <c r="E25" s="62"/>
      <c r="F25" s="140">
        <v>0.2</v>
      </c>
      <c r="G25" s="141" t="str">
        <f>K25&amp;" von"</f>
        <v>0 von</v>
      </c>
      <c r="H25" s="141">
        <f>J25</f>
        <v>30</v>
      </c>
      <c r="I25" s="63"/>
      <c r="J25" s="64">
        <f>SUM(J26:J32)</f>
        <v>30</v>
      </c>
      <c r="K25" s="65">
        <f>SUM(K26:K32)</f>
        <v>0</v>
      </c>
      <c r="L25" s="66"/>
      <c r="N25" s="34"/>
      <c r="O25" s="34"/>
      <c r="P25" s="34"/>
      <c r="Q25" s="34"/>
      <c r="R25" s="34"/>
      <c r="S25" s="34"/>
      <c r="T25" s="34"/>
      <c r="U25" s="34"/>
      <c r="V25" s="34"/>
      <c r="W25" s="34"/>
      <c r="X25" s="34"/>
      <c r="Y25" s="34"/>
      <c r="Z25" s="34"/>
      <c r="AA25" s="34"/>
      <c r="AB25" s="34"/>
      <c r="AC25" s="34"/>
      <c r="AD25" s="34"/>
      <c r="AE25" s="34"/>
      <c r="AF25" s="34"/>
      <c r="AG25" s="34"/>
      <c r="AH25" s="34"/>
      <c r="AI25" s="34"/>
      <c r="AJ25" s="34" t="str">
        <f t="shared" si="10"/>
        <v>Fazit (Zusammenfassung und Empfehlung)</v>
      </c>
      <c r="AK25" s="34" t="str">
        <f t="shared" si="11"/>
        <v>Fazit (Zusammenfassung und Empfehlung)</v>
      </c>
      <c r="AL25" s="34" t="str">
        <f t="shared" si="12"/>
        <v/>
      </c>
      <c r="AM25" s="38">
        <f t="shared" si="13"/>
        <v>0</v>
      </c>
      <c r="AN25" s="34">
        <f t="shared" si="14"/>
        <v>0</v>
      </c>
      <c r="AO25" s="34"/>
      <c r="AP25" s="34"/>
    </row>
    <row r="26" spans="1:42" ht="57">
      <c r="A26" s="67" t="s">
        <v>100</v>
      </c>
      <c r="B26" s="68">
        <v>1</v>
      </c>
      <c r="C26" s="67" t="s">
        <v>101</v>
      </c>
      <c r="D26" s="67" t="s">
        <v>102</v>
      </c>
      <c r="E26" s="67" t="s">
        <v>103</v>
      </c>
      <c r="F26" s="69"/>
      <c r="G26" s="126"/>
      <c r="H26" s="127"/>
      <c r="I26" s="70">
        <f t="shared" si="5"/>
        <v>0</v>
      </c>
      <c r="J26" s="71">
        <f t="shared" ref="J26:J32" si="15">B26*$C$8</f>
        <v>5</v>
      </c>
      <c r="K26" s="53">
        <f t="shared" ref="K26:K32" si="16">B26*I26</f>
        <v>0</v>
      </c>
      <c r="L26" s="73"/>
      <c r="N26" s="34"/>
      <c r="O26" s="34"/>
      <c r="P26" s="34"/>
      <c r="Q26" s="34"/>
      <c r="R26" s="34"/>
      <c r="S26" s="34"/>
      <c r="T26" s="34"/>
      <c r="U26" s="34"/>
      <c r="V26" s="34"/>
      <c r="W26" s="34"/>
      <c r="X26" s="34"/>
      <c r="Y26" s="34"/>
      <c r="Z26" s="34"/>
      <c r="AA26" s="34"/>
      <c r="AB26" s="34"/>
      <c r="AC26" s="34"/>
      <c r="AD26" s="34"/>
      <c r="AE26" s="34"/>
      <c r="AF26" s="34"/>
      <c r="AG26" s="34"/>
      <c r="AH26" s="34"/>
      <c r="AI26" s="34"/>
      <c r="AJ26" s="34">
        <f t="shared" si="10"/>
        <v>0</v>
      </c>
      <c r="AK26" s="34">
        <f t="shared" si="11"/>
        <v>0</v>
      </c>
      <c r="AL26" s="34" t="str">
        <f t="shared" si="12"/>
        <v/>
      </c>
      <c r="AM26" s="38">
        <f t="shared" si="13"/>
        <v>0</v>
      </c>
      <c r="AN26" s="34">
        <f t="shared" si="14"/>
        <v>0</v>
      </c>
      <c r="AO26" s="34"/>
      <c r="AP26" s="34"/>
    </row>
    <row r="27" spans="1:42" ht="71.25">
      <c r="A27" s="67" t="s">
        <v>104</v>
      </c>
      <c r="B27" s="68">
        <v>1</v>
      </c>
      <c r="C27" s="67" t="s">
        <v>105</v>
      </c>
      <c r="D27" s="67" t="s">
        <v>106</v>
      </c>
      <c r="E27" s="67" t="s">
        <v>107</v>
      </c>
      <c r="F27" s="69"/>
      <c r="G27" s="126"/>
      <c r="H27" s="127"/>
      <c r="I27" s="70">
        <f t="shared" si="5"/>
        <v>0</v>
      </c>
      <c r="J27" s="71">
        <f t="shared" si="15"/>
        <v>5</v>
      </c>
      <c r="K27" s="53">
        <f t="shared" si="16"/>
        <v>0</v>
      </c>
      <c r="L27" s="72">
        <v>3.1</v>
      </c>
      <c r="N27" s="34"/>
      <c r="O27" s="34"/>
      <c r="P27" s="34"/>
      <c r="Q27" s="34"/>
      <c r="R27" s="34"/>
      <c r="S27" s="34"/>
      <c r="T27" s="34"/>
      <c r="U27" s="34"/>
      <c r="V27" s="34"/>
      <c r="W27" s="34"/>
      <c r="X27" s="34"/>
      <c r="Y27" s="34"/>
      <c r="Z27" s="34"/>
      <c r="AA27" s="34"/>
      <c r="AB27" s="34"/>
      <c r="AC27" s="34"/>
      <c r="AD27" s="34"/>
      <c r="AE27" s="34"/>
      <c r="AF27" s="34"/>
      <c r="AG27" s="34"/>
      <c r="AH27" s="34"/>
      <c r="AI27" s="34"/>
      <c r="AJ27" s="34" t="str">
        <f t="shared" si="10"/>
        <v xml:space="preserve">4. Dokumentation, formale Vorgaben </v>
      </c>
      <c r="AK27" s="34" t="str">
        <f t="shared" si="11"/>
        <v xml:space="preserve">4. Dokumentation, formale Vorgaben </v>
      </c>
      <c r="AL27" s="34" t="str">
        <f t="shared" si="12"/>
        <v/>
      </c>
      <c r="AM27" s="38">
        <f t="shared" si="13"/>
        <v>0.15</v>
      </c>
      <c r="AN27" s="34">
        <f t="shared" si="14"/>
        <v>0</v>
      </c>
      <c r="AO27" s="34"/>
      <c r="AP27" s="34"/>
    </row>
    <row r="28" spans="1:42" ht="42.75">
      <c r="A28" s="67" t="s">
        <v>108</v>
      </c>
      <c r="B28" s="68">
        <v>1</v>
      </c>
      <c r="C28" s="67" t="s">
        <v>109</v>
      </c>
      <c r="D28" s="67" t="s">
        <v>110</v>
      </c>
      <c r="E28" s="67" t="s">
        <v>111</v>
      </c>
      <c r="F28" s="69"/>
      <c r="G28" s="126"/>
      <c r="H28" s="127"/>
      <c r="I28" s="70">
        <f t="shared" si="5"/>
        <v>0</v>
      </c>
      <c r="J28" s="71">
        <f t="shared" si="15"/>
        <v>5</v>
      </c>
      <c r="K28" s="53">
        <f t="shared" si="16"/>
        <v>0</v>
      </c>
      <c r="L28" s="72"/>
      <c r="N28" s="34"/>
      <c r="O28" s="34"/>
      <c r="P28" s="34"/>
      <c r="Q28" s="34"/>
      <c r="R28" s="34"/>
      <c r="S28" s="34"/>
      <c r="T28" s="34"/>
      <c r="U28" s="34"/>
      <c r="V28" s="34"/>
      <c r="W28" s="34"/>
      <c r="X28" s="34"/>
      <c r="Y28" s="34"/>
      <c r="Z28" s="34"/>
      <c r="AA28" s="34"/>
      <c r="AB28" s="34"/>
      <c r="AC28" s="34"/>
      <c r="AD28" s="34"/>
      <c r="AE28" s="34"/>
      <c r="AF28" s="34"/>
      <c r="AG28" s="34"/>
      <c r="AH28" s="34"/>
      <c r="AI28" s="34"/>
      <c r="AJ28" s="34" t="str">
        <f t="shared" si="10"/>
        <v>Aufbau gemäss Vorgaben (Vollständigkeit und Struktur, Länge, Zitate, Literaturverzeichnis, etc.)</v>
      </c>
      <c r="AK28" s="34" t="str">
        <f t="shared" si="11"/>
        <v>Aufbau gemäss Vorgaben (Vollständigkeit und Struktur, Länge, Zitate, Literaturverzeichnis, etc.)</v>
      </c>
      <c r="AL28" s="34" t="str">
        <f t="shared" si="12"/>
        <v/>
      </c>
      <c r="AM28" s="38">
        <f t="shared" si="13"/>
        <v>0</v>
      </c>
      <c r="AN28" s="34">
        <f t="shared" si="14"/>
        <v>0</v>
      </c>
      <c r="AO28" s="34"/>
      <c r="AP28" s="34"/>
    </row>
    <row r="29" spans="1:42" ht="89.25" customHeight="1">
      <c r="A29" s="67" t="s">
        <v>112</v>
      </c>
      <c r="B29" s="68">
        <v>1</v>
      </c>
      <c r="C29" s="67" t="s">
        <v>113</v>
      </c>
      <c r="D29" s="67" t="s">
        <v>114</v>
      </c>
      <c r="E29" s="67" t="s">
        <v>115</v>
      </c>
      <c r="F29" s="69"/>
      <c r="G29" s="126"/>
      <c r="H29" s="127"/>
      <c r="I29" s="70">
        <f t="shared" si="5"/>
        <v>0</v>
      </c>
      <c r="J29" s="71">
        <f t="shared" si="15"/>
        <v>5</v>
      </c>
      <c r="K29" s="53">
        <f t="shared" si="16"/>
        <v>0</v>
      </c>
      <c r="L29" s="72"/>
      <c r="N29" s="34"/>
      <c r="O29" s="34"/>
      <c r="P29" s="34"/>
      <c r="Q29" s="34"/>
      <c r="R29" s="34"/>
      <c r="S29" s="34"/>
      <c r="T29" s="34"/>
      <c r="U29" s="34"/>
      <c r="V29" s="34"/>
      <c r="W29" s="34"/>
      <c r="X29" s="34"/>
      <c r="Y29" s="34"/>
      <c r="Z29" s="34"/>
      <c r="AA29" s="34"/>
      <c r="AB29" s="34"/>
      <c r="AC29" s="34"/>
      <c r="AD29" s="34"/>
      <c r="AE29" s="34"/>
      <c r="AF29" s="34"/>
      <c r="AG29" s="34"/>
      <c r="AH29" s="34"/>
      <c r="AI29" s="34"/>
      <c r="AJ29" s="34" t="str">
        <f t="shared" ref="AJ29:AJ92" si="17">A36</f>
        <v>Erscheinungsbild (Layout, Grafiken, Schriftbild, Umbrüche, Titelseite etc.)</v>
      </c>
      <c r="AK29" s="34" t="str">
        <f t="shared" ref="AK29:AK92" si="18">A36</f>
        <v>Erscheinungsbild (Layout, Grafiken, Schriftbild, Umbrüche, Titelseite etc.)</v>
      </c>
      <c r="AL29" s="34" t="str">
        <f t="shared" ref="AL29:AL92" si="19">IF(F36=$C$8,$C36,IF(F36=$D$8,$D36,IF(F36=$E$8,$E36,"")))</f>
        <v/>
      </c>
      <c r="AM29" s="38">
        <f t="shared" ref="AM29:AM92" si="20">F36</f>
        <v>0</v>
      </c>
      <c r="AN29" s="34">
        <f t="shared" si="4"/>
        <v>0</v>
      </c>
      <c r="AO29" s="34"/>
      <c r="AP29" s="34"/>
    </row>
    <row r="30" spans="1:42" ht="99.75">
      <c r="A30" s="67" t="s">
        <v>116</v>
      </c>
      <c r="B30" s="68">
        <v>1</v>
      </c>
      <c r="C30" s="67" t="s">
        <v>117</v>
      </c>
      <c r="D30" s="67" t="s">
        <v>118</v>
      </c>
      <c r="E30" s="67" t="s">
        <v>119</v>
      </c>
      <c r="F30" s="69"/>
      <c r="G30" s="126"/>
      <c r="H30" s="127"/>
      <c r="I30" s="70">
        <f t="shared" si="5"/>
        <v>0</v>
      </c>
      <c r="J30" s="71">
        <f t="shared" si="15"/>
        <v>5</v>
      </c>
      <c r="K30" s="53">
        <f t="shared" si="16"/>
        <v>0</v>
      </c>
      <c r="L30" s="72"/>
      <c r="N30" s="34"/>
      <c r="O30" s="34"/>
      <c r="P30" s="34"/>
      <c r="Q30" s="34"/>
      <c r="R30" s="34"/>
      <c r="S30" s="34"/>
      <c r="T30" s="34"/>
      <c r="U30" s="34"/>
      <c r="V30" s="34"/>
      <c r="W30" s="34"/>
      <c r="X30" s="34"/>
      <c r="Y30" s="34"/>
      <c r="Z30" s="34"/>
      <c r="AA30" s="34"/>
      <c r="AB30" s="34"/>
      <c r="AC30" s="34"/>
      <c r="AD30" s="34"/>
      <c r="AE30" s="34"/>
      <c r="AF30" s="34"/>
      <c r="AG30" s="34"/>
      <c r="AH30" s="34"/>
      <c r="AI30" s="34"/>
      <c r="AJ30" s="34">
        <f t="shared" si="17"/>
        <v>0</v>
      </c>
      <c r="AK30" s="34">
        <f t="shared" si="18"/>
        <v>0</v>
      </c>
      <c r="AL30" s="34" t="str">
        <f t="shared" si="19"/>
        <v/>
      </c>
      <c r="AM30" s="38">
        <f t="shared" si="20"/>
        <v>0</v>
      </c>
      <c r="AN30" s="34">
        <f t="shared" si="4"/>
        <v>0</v>
      </c>
      <c r="AO30" s="34"/>
      <c r="AP30" s="34"/>
    </row>
    <row r="31" spans="1:42" ht="90" customHeight="1">
      <c r="A31" s="67" t="s">
        <v>120</v>
      </c>
      <c r="B31" s="68">
        <v>1</v>
      </c>
      <c r="C31" s="67" t="s">
        <v>121</v>
      </c>
      <c r="D31" s="67" t="s">
        <v>122</v>
      </c>
      <c r="E31" s="67" t="s">
        <v>123</v>
      </c>
      <c r="F31" s="69"/>
      <c r="G31" s="126"/>
      <c r="H31" s="127"/>
      <c r="I31" s="70">
        <f t="shared" si="5"/>
        <v>0</v>
      </c>
      <c r="J31" s="71">
        <f t="shared" si="15"/>
        <v>5</v>
      </c>
      <c r="K31" s="53">
        <f t="shared" si="16"/>
        <v>0</v>
      </c>
      <c r="L31" s="72"/>
      <c r="N31" s="34"/>
      <c r="O31" s="34"/>
      <c r="P31" s="34"/>
      <c r="Q31" s="34"/>
      <c r="R31" s="34"/>
      <c r="S31" s="34"/>
      <c r="T31" s="34"/>
      <c r="U31" s="34"/>
      <c r="V31" s="34"/>
      <c r="W31" s="34"/>
      <c r="X31" s="34"/>
      <c r="Y31" s="34"/>
      <c r="Z31" s="34"/>
      <c r="AA31" s="34"/>
      <c r="AB31" s="34"/>
      <c r="AC31" s="34"/>
      <c r="AD31" s="34"/>
      <c r="AE31" s="34"/>
      <c r="AF31" s="34"/>
      <c r="AG31" s="34"/>
      <c r="AH31" s="34"/>
      <c r="AI31" s="34"/>
      <c r="AJ31" s="34" t="str">
        <f t="shared" si="17"/>
        <v>Schriftliche Kommunikation</v>
      </c>
      <c r="AK31" s="34" t="str">
        <f t="shared" si="18"/>
        <v>Schriftliche Kommunikation</v>
      </c>
      <c r="AL31" s="34" t="str">
        <f t="shared" si="19"/>
        <v/>
      </c>
      <c r="AM31" s="38">
        <f t="shared" si="20"/>
        <v>1</v>
      </c>
      <c r="AN31" s="34">
        <f t="shared" si="4"/>
        <v>0</v>
      </c>
      <c r="AO31" s="34"/>
      <c r="AP31" s="34"/>
    </row>
    <row r="32" spans="1:42" ht="74.25" hidden="1" customHeight="1" outlineLevel="1">
      <c r="A32" s="67"/>
      <c r="B32" s="68"/>
      <c r="C32" s="67"/>
      <c r="D32" s="67"/>
      <c r="E32" s="67"/>
      <c r="F32" s="69"/>
      <c r="G32" s="74"/>
      <c r="H32" s="75"/>
      <c r="I32" s="70">
        <f t="shared" si="5"/>
        <v>0</v>
      </c>
      <c r="J32" s="71">
        <f t="shared" si="15"/>
        <v>0</v>
      </c>
      <c r="K32" s="53">
        <f t="shared" si="16"/>
        <v>0</v>
      </c>
      <c r="L32" s="73"/>
      <c r="N32" s="34"/>
      <c r="O32" s="34"/>
      <c r="P32" s="34"/>
      <c r="Q32" s="34"/>
      <c r="R32" s="34"/>
      <c r="S32" s="34"/>
      <c r="T32" s="34"/>
      <c r="U32" s="34"/>
      <c r="V32" s="34"/>
      <c r="W32" s="34"/>
      <c r="X32" s="34"/>
      <c r="Y32" s="34"/>
      <c r="Z32" s="34"/>
      <c r="AA32" s="34"/>
      <c r="AB32" s="34"/>
      <c r="AC32" s="34"/>
      <c r="AD32" s="34"/>
      <c r="AE32" s="34"/>
      <c r="AF32" s="34"/>
      <c r="AG32" s="34"/>
      <c r="AH32" s="34"/>
      <c r="AI32" s="34"/>
      <c r="AJ32" s="34" t="str">
        <f t="shared" si="17"/>
        <v>Schriftliche Kommunikation</v>
      </c>
      <c r="AK32" s="34" t="str">
        <f t="shared" si="18"/>
        <v>Schriftliche Kommunikation</v>
      </c>
      <c r="AL32" s="34" t="str">
        <f t="shared" si="19"/>
        <v/>
      </c>
      <c r="AM32" s="38">
        <f t="shared" si="20"/>
        <v>1</v>
      </c>
      <c r="AN32" s="34">
        <f t="shared" si="4"/>
        <v>0</v>
      </c>
      <c r="AO32" s="34"/>
      <c r="AP32" s="34"/>
    </row>
    <row r="33" spans="1:42" ht="25.15" customHeight="1" collapsed="1">
      <c r="A33" s="62" t="s">
        <v>124</v>
      </c>
      <c r="B33" s="62"/>
      <c r="C33" s="62"/>
      <c r="D33" s="62"/>
      <c r="E33" s="62"/>
      <c r="F33" s="140">
        <v>0.15</v>
      </c>
      <c r="G33" s="141" t="str">
        <f>K33&amp;" von"</f>
        <v>0 von</v>
      </c>
      <c r="H33" s="141">
        <f>J33</f>
        <v>15</v>
      </c>
      <c r="I33" s="63"/>
      <c r="J33" s="64">
        <f>SUM(J34:J37)</f>
        <v>15</v>
      </c>
      <c r="K33" s="65">
        <f>SUM(K34:K37)</f>
        <v>0</v>
      </c>
      <c r="L33" s="66"/>
      <c r="N33" s="34"/>
      <c r="O33" s="34"/>
      <c r="P33" s="34"/>
      <c r="Q33" s="34"/>
      <c r="R33" s="34"/>
      <c r="S33" s="34"/>
      <c r="T33" s="34"/>
      <c r="U33" s="34"/>
      <c r="V33" s="34"/>
      <c r="W33" s="34"/>
      <c r="X33" s="34"/>
      <c r="Y33" s="34"/>
      <c r="Z33" s="34"/>
      <c r="AA33" s="34"/>
      <c r="AB33" s="34"/>
      <c r="AC33" s="34"/>
      <c r="AD33" s="34"/>
      <c r="AE33" s="34"/>
      <c r="AF33" s="34"/>
      <c r="AG33" s="34"/>
      <c r="AH33" s="34"/>
      <c r="AI33" s="34"/>
      <c r="AJ33" s="34" t="str">
        <f t="shared" si="17"/>
        <v xml:space="preserve">Der Dozent / die Dozentin hat die Arbeit bezüglich Einhaltung akademischer Standards überprüft. </v>
      </c>
      <c r="AK33" s="34" t="str">
        <f t="shared" si="18"/>
        <v xml:space="preserve">Der Dozent / die Dozentin hat die Arbeit bezüglich Einhaltung akademischer Standards überprüft. </v>
      </c>
      <c r="AL33" s="34" t="str">
        <f t="shared" si="19"/>
        <v/>
      </c>
      <c r="AM33" s="38">
        <f t="shared" si="20"/>
        <v>0</v>
      </c>
      <c r="AN33" s="34">
        <f t="shared" si="4"/>
        <v>0</v>
      </c>
      <c r="AO33" s="34"/>
      <c r="AP33" s="34"/>
    </row>
    <row r="34" spans="1:42" ht="71.25">
      <c r="A34" s="67" t="s">
        <v>125</v>
      </c>
      <c r="B34" s="68">
        <v>1</v>
      </c>
      <c r="C34" s="67" t="s">
        <v>126</v>
      </c>
      <c r="D34" s="67" t="s">
        <v>127</v>
      </c>
      <c r="E34" s="67" t="s">
        <v>128</v>
      </c>
      <c r="F34" s="69"/>
      <c r="G34" s="128"/>
      <c r="H34" s="129"/>
      <c r="I34" s="70">
        <f t="shared" si="5"/>
        <v>0</v>
      </c>
      <c r="J34" s="71">
        <f t="shared" ref="J34:J37" si="21">B34*$C$8</f>
        <v>5</v>
      </c>
      <c r="K34" s="53">
        <f t="shared" ref="K34:K37" si="22">B34*I34</f>
        <v>0</v>
      </c>
      <c r="L34" s="72"/>
      <c r="N34" s="34"/>
      <c r="O34" s="34"/>
      <c r="P34" s="34"/>
      <c r="Q34" s="34"/>
      <c r="R34" s="34"/>
      <c r="S34" s="34"/>
      <c r="T34" s="34"/>
      <c r="U34" s="34"/>
      <c r="V34" s="34"/>
      <c r="W34" s="34"/>
      <c r="X34" s="34"/>
      <c r="Y34" s="34"/>
      <c r="Z34" s="34"/>
      <c r="AA34" s="34"/>
      <c r="AB34" s="34"/>
      <c r="AC34" s="34"/>
      <c r="AD34" s="34"/>
      <c r="AE34" s="34"/>
      <c r="AF34" s="34"/>
      <c r="AG34" s="34"/>
      <c r="AH34" s="34"/>
      <c r="AI34" s="34"/>
      <c r="AJ34" s="34">
        <f t="shared" si="17"/>
        <v>0</v>
      </c>
      <c r="AK34" s="34">
        <f t="shared" si="18"/>
        <v>0</v>
      </c>
      <c r="AL34" s="34" t="str">
        <f t="shared" si="19"/>
        <v/>
      </c>
      <c r="AM34" s="38">
        <f t="shared" si="20"/>
        <v>0</v>
      </c>
      <c r="AN34" s="34">
        <f t="shared" si="4"/>
        <v>0</v>
      </c>
      <c r="AO34" s="34"/>
      <c r="AP34" s="34"/>
    </row>
    <row r="35" spans="1:42" ht="114">
      <c r="A35" s="67" t="s">
        <v>129</v>
      </c>
      <c r="B35" s="68">
        <v>1</v>
      </c>
      <c r="C35" s="67" t="s">
        <v>130</v>
      </c>
      <c r="D35" s="67" t="s">
        <v>131</v>
      </c>
      <c r="E35" s="67" t="s">
        <v>132</v>
      </c>
      <c r="F35" s="69"/>
      <c r="G35" s="128"/>
      <c r="H35" s="129"/>
      <c r="I35" s="70">
        <f t="shared" si="5"/>
        <v>0</v>
      </c>
      <c r="J35" s="71">
        <f t="shared" si="21"/>
        <v>5</v>
      </c>
      <c r="K35" s="53">
        <f t="shared" si="22"/>
        <v>0</v>
      </c>
      <c r="L35" s="72"/>
      <c r="N35" s="34"/>
      <c r="O35" s="34"/>
      <c r="P35" s="34"/>
      <c r="Q35" s="34"/>
      <c r="R35" s="34"/>
      <c r="S35" s="34"/>
      <c r="T35" s="34"/>
      <c r="U35" s="34"/>
      <c r="V35" s="34"/>
      <c r="W35" s="34"/>
      <c r="X35" s="34"/>
      <c r="Y35" s="34"/>
      <c r="Z35" s="34"/>
      <c r="AA35" s="34"/>
      <c r="AB35" s="34"/>
      <c r="AC35" s="34"/>
      <c r="AD35" s="34"/>
      <c r="AE35" s="34"/>
      <c r="AF35" s="34"/>
      <c r="AG35" s="34"/>
      <c r="AH35" s="34"/>
      <c r="AI35" s="34"/>
      <c r="AJ35" s="34">
        <f t="shared" si="17"/>
        <v>0</v>
      </c>
      <c r="AK35" s="34">
        <f t="shared" si="18"/>
        <v>0</v>
      </c>
      <c r="AL35" s="34" t="str">
        <f t="shared" si="19"/>
        <v/>
      </c>
      <c r="AM35" s="38">
        <f t="shared" si="20"/>
        <v>0</v>
      </c>
      <c r="AN35" s="34">
        <f t="shared" si="4"/>
        <v>0</v>
      </c>
      <c r="AO35" s="34"/>
      <c r="AP35" s="34"/>
    </row>
    <row r="36" spans="1:42" ht="111.75" customHeight="1">
      <c r="A36" s="67" t="s">
        <v>133</v>
      </c>
      <c r="B36" s="68">
        <v>1</v>
      </c>
      <c r="C36" s="67" t="s">
        <v>134</v>
      </c>
      <c r="D36" s="67" t="s">
        <v>135</v>
      </c>
      <c r="E36" s="67" t="s">
        <v>136</v>
      </c>
      <c r="F36" s="69"/>
      <c r="G36" s="128"/>
      <c r="H36" s="129"/>
      <c r="I36" s="70">
        <f t="shared" si="5"/>
        <v>0</v>
      </c>
      <c r="J36" s="71">
        <f t="shared" si="21"/>
        <v>5</v>
      </c>
      <c r="K36" s="53">
        <f t="shared" si="22"/>
        <v>0</v>
      </c>
      <c r="L36" s="72"/>
      <c r="N36" s="34"/>
      <c r="O36" s="34"/>
      <c r="P36" s="34"/>
      <c r="Q36" s="34"/>
      <c r="R36" s="34"/>
      <c r="S36" s="34"/>
      <c r="T36" s="34"/>
      <c r="U36" s="34"/>
      <c r="V36" s="34"/>
      <c r="W36" s="34"/>
      <c r="X36" s="34"/>
      <c r="Y36" s="34"/>
      <c r="Z36" s="34"/>
      <c r="AA36" s="34"/>
      <c r="AB36" s="34"/>
      <c r="AC36" s="34"/>
      <c r="AD36" s="34"/>
      <c r="AE36" s="34"/>
      <c r="AF36" s="34"/>
      <c r="AG36" s="34"/>
      <c r="AH36" s="34"/>
      <c r="AI36" s="34"/>
      <c r="AJ36" s="34">
        <f t="shared" si="17"/>
        <v>0</v>
      </c>
      <c r="AK36" s="34">
        <f t="shared" si="18"/>
        <v>0</v>
      </c>
      <c r="AL36" s="34" t="str">
        <f t="shared" si="19"/>
        <v/>
      </c>
      <c r="AM36" s="38">
        <f t="shared" si="20"/>
        <v>0</v>
      </c>
      <c r="AN36" s="34">
        <f t="shared" si="4"/>
        <v>0</v>
      </c>
      <c r="AO36" s="34"/>
      <c r="AP36" s="34"/>
    </row>
    <row r="37" spans="1:42" ht="74.25" hidden="1" customHeight="1" outlineLevel="2">
      <c r="A37" s="67"/>
      <c r="B37" s="68"/>
      <c r="C37" s="67"/>
      <c r="D37" s="67"/>
      <c r="E37" s="67"/>
      <c r="F37" s="69"/>
      <c r="G37" s="74"/>
      <c r="H37" s="75"/>
      <c r="I37" s="70">
        <f t="shared" si="5"/>
        <v>0</v>
      </c>
      <c r="J37" s="71">
        <f t="shared" si="21"/>
        <v>0</v>
      </c>
      <c r="K37" s="53">
        <f t="shared" si="22"/>
        <v>0</v>
      </c>
      <c r="L37" s="73"/>
      <c r="N37" s="34"/>
      <c r="O37" s="34"/>
      <c r="P37" s="34"/>
      <c r="Q37" s="34"/>
      <c r="R37" s="34"/>
      <c r="S37" s="34"/>
      <c r="T37" s="34"/>
      <c r="U37" s="34"/>
      <c r="V37" s="34"/>
      <c r="W37" s="34"/>
      <c r="X37" s="34"/>
      <c r="Y37" s="34"/>
      <c r="Z37" s="34"/>
      <c r="AA37" s="34"/>
      <c r="AB37" s="34"/>
      <c r="AC37" s="34"/>
      <c r="AD37" s="34"/>
      <c r="AE37" s="34"/>
      <c r="AF37" s="34"/>
      <c r="AG37" s="34"/>
      <c r="AH37" s="34"/>
      <c r="AI37" s="34"/>
      <c r="AJ37" s="34">
        <f t="shared" si="17"/>
        <v>0</v>
      </c>
      <c r="AK37" s="34">
        <f t="shared" si="18"/>
        <v>0</v>
      </c>
      <c r="AL37" s="34" t="str">
        <f t="shared" si="19"/>
        <v/>
      </c>
      <c r="AM37" s="38">
        <f t="shared" si="20"/>
        <v>0</v>
      </c>
      <c r="AN37" s="34">
        <f t="shared" si="4"/>
        <v>0</v>
      </c>
      <c r="AO37" s="34"/>
      <c r="AP37" s="34"/>
    </row>
    <row r="38" spans="1:42" ht="25.15" customHeight="1" collapsed="1">
      <c r="A38" s="76" t="s">
        <v>137</v>
      </c>
      <c r="B38" s="76"/>
      <c r="C38" s="122" t="s">
        <v>138</v>
      </c>
      <c r="D38" s="122"/>
      <c r="E38" s="122"/>
      <c r="F38" s="77">
        <f>(5*K39)+1</f>
        <v>1</v>
      </c>
      <c r="G38" s="78"/>
      <c r="H38" s="78"/>
      <c r="I38" s="51"/>
      <c r="J38" s="79">
        <f>SUM(J33,J25,J16,J9)</f>
        <v>105</v>
      </c>
      <c r="K38" s="79">
        <f>SUM(K33,K25,K16,K9)</f>
        <v>0</v>
      </c>
      <c r="N38" s="34"/>
      <c r="O38" s="34"/>
      <c r="P38" s="34"/>
      <c r="Q38" s="34"/>
      <c r="R38" s="34"/>
      <c r="S38" s="34"/>
      <c r="T38" s="34"/>
      <c r="U38" s="34"/>
      <c r="V38" s="34"/>
      <c r="W38" s="34"/>
      <c r="X38" s="34"/>
      <c r="Y38" s="34"/>
      <c r="Z38" s="34"/>
      <c r="AA38" s="34"/>
      <c r="AB38" s="34"/>
      <c r="AC38" s="34"/>
      <c r="AD38" s="34"/>
      <c r="AE38" s="34"/>
      <c r="AF38" s="34"/>
      <c r="AG38" s="34"/>
      <c r="AH38" s="34"/>
      <c r="AI38" s="34"/>
      <c r="AJ38" s="34">
        <f t="shared" si="17"/>
        <v>0</v>
      </c>
      <c r="AK38" s="34">
        <f t="shared" si="18"/>
        <v>0</v>
      </c>
      <c r="AL38" s="34" t="str">
        <f t="shared" si="19"/>
        <v/>
      </c>
      <c r="AM38" s="38">
        <f t="shared" si="20"/>
        <v>0</v>
      </c>
      <c r="AN38" s="34">
        <f t="shared" si="4"/>
        <v>0</v>
      </c>
      <c r="AO38" s="34"/>
      <c r="AP38" s="34"/>
    </row>
    <row r="39" spans="1:42" ht="25.15" customHeight="1">
      <c r="A39" s="76" t="s">
        <v>137</v>
      </c>
      <c r="B39" s="76"/>
      <c r="C39" s="122" t="s">
        <v>139</v>
      </c>
      <c r="D39" s="122"/>
      <c r="E39" s="122"/>
      <c r="F39" s="80">
        <f>F38</f>
        <v>1</v>
      </c>
      <c r="G39" s="78"/>
      <c r="H39" s="78"/>
      <c r="I39" s="123" t="s">
        <v>140</v>
      </c>
      <c r="J39" s="124"/>
      <c r="K39" s="53">
        <f>SUM($K$33/$J$33*$F$33,$K$25/$J$25*$F$25,$K$16/$J$16*$F$16,$K$9/$J$9*$F$9)</f>
        <v>0</v>
      </c>
      <c r="N39" s="34"/>
      <c r="O39" s="34"/>
      <c r="P39" s="34"/>
      <c r="Q39" s="34"/>
      <c r="R39" s="34"/>
      <c r="S39" s="34"/>
      <c r="T39" s="34"/>
      <c r="U39" s="34"/>
      <c r="V39" s="34"/>
      <c r="W39" s="34"/>
      <c r="X39" s="34"/>
      <c r="Y39" s="34"/>
      <c r="Z39" s="34"/>
      <c r="AA39" s="34"/>
      <c r="AB39" s="34"/>
      <c r="AC39" s="34"/>
      <c r="AD39" s="34"/>
      <c r="AE39" s="34"/>
      <c r="AF39" s="34"/>
      <c r="AG39" s="34"/>
      <c r="AH39" s="34"/>
      <c r="AI39" s="34"/>
      <c r="AJ39" s="34">
        <f t="shared" si="17"/>
        <v>0</v>
      </c>
      <c r="AK39" s="34">
        <f t="shared" si="18"/>
        <v>0</v>
      </c>
      <c r="AL39" s="34" t="str">
        <f t="shared" si="19"/>
        <v/>
      </c>
      <c r="AM39" s="38">
        <f t="shared" si="20"/>
        <v>0</v>
      </c>
      <c r="AN39" s="34">
        <f t="shared" si="4"/>
        <v>0</v>
      </c>
      <c r="AO39" s="34"/>
      <c r="AP39" s="34"/>
    </row>
    <row r="40" spans="1:42" ht="23.25" customHeight="1">
      <c r="A40" s="125" t="s">
        <v>141</v>
      </c>
      <c r="B40" s="125"/>
      <c r="C40" s="125"/>
      <c r="D40" s="125"/>
      <c r="E40" s="125"/>
      <c r="F40" s="125"/>
      <c r="G40" s="125"/>
      <c r="H40" s="125"/>
      <c r="I40" s="81"/>
      <c r="J40" s="81"/>
      <c r="K40" s="81"/>
      <c r="N40" s="34"/>
      <c r="O40" s="34"/>
      <c r="P40" s="34"/>
      <c r="Q40" s="34"/>
      <c r="R40" s="34"/>
      <c r="S40" s="34"/>
      <c r="T40" s="34"/>
      <c r="U40" s="34"/>
      <c r="V40" s="34"/>
      <c r="W40" s="34"/>
      <c r="X40" s="34"/>
      <c r="Y40" s="34"/>
      <c r="Z40" s="34"/>
      <c r="AA40" s="34"/>
      <c r="AB40" s="34"/>
      <c r="AC40" s="34"/>
      <c r="AD40" s="34"/>
      <c r="AE40" s="34"/>
      <c r="AF40" s="34"/>
      <c r="AG40" s="34"/>
      <c r="AH40" s="34"/>
      <c r="AI40" s="34"/>
      <c r="AJ40" s="34">
        <f t="shared" si="17"/>
        <v>0</v>
      </c>
      <c r="AK40" s="34">
        <f t="shared" si="18"/>
        <v>0</v>
      </c>
      <c r="AL40" s="34" t="str">
        <f t="shared" si="19"/>
        <v/>
      </c>
      <c r="AM40" s="38">
        <f t="shared" si="20"/>
        <v>0</v>
      </c>
      <c r="AN40" s="34">
        <f t="shared" si="4"/>
        <v>0</v>
      </c>
      <c r="AO40" s="34"/>
      <c r="AP40" s="34"/>
    </row>
    <row r="41" spans="1:42">
      <c r="N41" s="34"/>
      <c r="O41" s="34"/>
      <c r="P41" s="34"/>
      <c r="Q41" s="34"/>
      <c r="R41" s="34"/>
      <c r="S41" s="34"/>
      <c r="T41" s="34"/>
      <c r="U41" s="34"/>
      <c r="V41" s="34"/>
      <c r="W41" s="34"/>
      <c r="X41" s="34"/>
      <c r="Y41" s="34"/>
      <c r="Z41" s="34"/>
      <c r="AA41" s="34"/>
      <c r="AB41" s="34"/>
      <c r="AC41" s="34"/>
      <c r="AD41" s="34"/>
      <c r="AE41" s="34"/>
      <c r="AF41" s="34"/>
      <c r="AG41" s="34"/>
      <c r="AH41" s="34"/>
      <c r="AI41" s="34"/>
      <c r="AJ41" s="34">
        <f t="shared" si="17"/>
        <v>0</v>
      </c>
      <c r="AK41" s="34">
        <f t="shared" si="18"/>
        <v>0</v>
      </c>
      <c r="AL41" s="34" t="str">
        <f t="shared" si="19"/>
        <v/>
      </c>
      <c r="AM41" s="38">
        <f t="shared" si="20"/>
        <v>0</v>
      </c>
      <c r="AN41" s="34">
        <f t="shared" si="4"/>
        <v>0</v>
      </c>
      <c r="AO41" s="34"/>
      <c r="AP41" s="34"/>
    </row>
    <row r="42" spans="1:42">
      <c r="N42" s="34"/>
      <c r="O42" s="34"/>
      <c r="P42" s="34"/>
      <c r="Q42" s="34"/>
      <c r="R42" s="34"/>
      <c r="S42" s="34"/>
      <c r="T42" s="34"/>
      <c r="U42" s="34"/>
      <c r="V42" s="34"/>
      <c r="W42" s="34"/>
      <c r="X42" s="34"/>
      <c r="Y42" s="34"/>
      <c r="Z42" s="34"/>
      <c r="AA42" s="34"/>
      <c r="AB42" s="34"/>
      <c r="AC42" s="34"/>
      <c r="AD42" s="34"/>
      <c r="AE42" s="34"/>
      <c r="AF42" s="34"/>
      <c r="AG42" s="34"/>
      <c r="AH42" s="34"/>
      <c r="AI42" s="34"/>
      <c r="AJ42" s="34">
        <f t="shared" si="17"/>
        <v>0</v>
      </c>
      <c r="AK42" s="34">
        <f t="shared" si="18"/>
        <v>0</v>
      </c>
      <c r="AL42" s="34" t="str">
        <f t="shared" si="19"/>
        <v/>
      </c>
      <c r="AM42" s="38">
        <f t="shared" si="20"/>
        <v>0</v>
      </c>
      <c r="AN42" s="34">
        <f t="shared" si="4"/>
        <v>0</v>
      </c>
      <c r="AO42" s="34"/>
      <c r="AP42" s="34"/>
    </row>
    <row r="43" spans="1:42">
      <c r="N43" s="34"/>
      <c r="O43" s="34"/>
      <c r="P43" s="34"/>
      <c r="Q43" s="34"/>
      <c r="R43" s="34"/>
      <c r="S43" s="34"/>
      <c r="T43" s="34"/>
      <c r="U43" s="34"/>
      <c r="V43" s="34"/>
      <c r="W43" s="34"/>
      <c r="X43" s="34"/>
      <c r="Y43" s="34"/>
      <c r="Z43" s="34"/>
      <c r="AA43" s="34"/>
      <c r="AB43" s="34"/>
      <c r="AC43" s="34"/>
      <c r="AD43" s="34"/>
      <c r="AE43" s="34"/>
      <c r="AF43" s="34"/>
      <c r="AG43" s="34"/>
      <c r="AH43" s="34"/>
      <c r="AI43" s="34"/>
      <c r="AJ43" s="34">
        <f t="shared" si="17"/>
        <v>0</v>
      </c>
      <c r="AK43" s="34">
        <f t="shared" si="18"/>
        <v>0</v>
      </c>
      <c r="AL43" s="34" t="str">
        <f t="shared" si="19"/>
        <v/>
      </c>
      <c r="AM43" s="38">
        <f t="shared" si="20"/>
        <v>0</v>
      </c>
      <c r="AN43" s="34">
        <f t="shared" si="4"/>
        <v>0</v>
      </c>
      <c r="AO43" s="34"/>
      <c r="AP43" s="34"/>
    </row>
    <row r="44" spans="1:42">
      <c r="N44" s="34"/>
      <c r="O44" s="34"/>
      <c r="P44" s="34"/>
      <c r="Q44" s="34"/>
      <c r="R44" s="34"/>
      <c r="S44" s="34"/>
      <c r="T44" s="34"/>
      <c r="U44" s="34"/>
      <c r="V44" s="34"/>
      <c r="W44" s="34"/>
      <c r="X44" s="34"/>
      <c r="Y44" s="34"/>
      <c r="Z44" s="34"/>
      <c r="AA44" s="34"/>
      <c r="AB44" s="34"/>
      <c r="AC44" s="34"/>
      <c r="AD44" s="34"/>
      <c r="AE44" s="34"/>
      <c r="AF44" s="34"/>
      <c r="AG44" s="34"/>
      <c r="AH44" s="34"/>
      <c r="AI44" s="34"/>
      <c r="AJ44" s="34">
        <f t="shared" si="17"/>
        <v>0</v>
      </c>
      <c r="AK44" s="34">
        <f t="shared" si="18"/>
        <v>0</v>
      </c>
      <c r="AL44" s="34" t="str">
        <f t="shared" si="19"/>
        <v/>
      </c>
      <c r="AM44" s="38">
        <f t="shared" si="20"/>
        <v>0</v>
      </c>
      <c r="AN44" s="34">
        <f t="shared" si="4"/>
        <v>0</v>
      </c>
      <c r="AO44" s="34"/>
      <c r="AP44" s="34"/>
    </row>
    <row r="45" spans="1:42">
      <c r="N45" s="34"/>
      <c r="O45" s="34"/>
      <c r="P45" s="34"/>
      <c r="Q45" s="34"/>
      <c r="R45" s="34"/>
      <c r="S45" s="34"/>
      <c r="T45" s="34"/>
      <c r="U45" s="34"/>
      <c r="V45" s="34"/>
      <c r="W45" s="34"/>
      <c r="X45" s="34"/>
      <c r="Y45" s="34"/>
      <c r="Z45" s="34"/>
      <c r="AA45" s="34"/>
      <c r="AB45" s="34"/>
      <c r="AC45" s="34"/>
      <c r="AD45" s="34"/>
      <c r="AE45" s="34"/>
      <c r="AF45" s="34"/>
      <c r="AG45" s="34"/>
      <c r="AH45" s="34"/>
      <c r="AI45" s="34"/>
      <c r="AJ45" s="34">
        <f t="shared" si="17"/>
        <v>0</v>
      </c>
      <c r="AK45" s="34">
        <f t="shared" si="18"/>
        <v>0</v>
      </c>
      <c r="AL45" s="34" t="str">
        <f t="shared" si="19"/>
        <v/>
      </c>
      <c r="AM45" s="38">
        <f t="shared" si="20"/>
        <v>0</v>
      </c>
      <c r="AN45" s="34">
        <f t="shared" si="4"/>
        <v>0</v>
      </c>
      <c r="AO45" s="34"/>
      <c r="AP45" s="34"/>
    </row>
    <row r="46" spans="1:42">
      <c r="N46" s="34"/>
      <c r="O46" s="34"/>
      <c r="P46" s="34"/>
      <c r="Q46" s="34"/>
      <c r="R46" s="34"/>
      <c r="S46" s="34"/>
      <c r="T46" s="34"/>
      <c r="U46" s="34"/>
      <c r="V46" s="34"/>
      <c r="W46" s="34"/>
      <c r="X46" s="34"/>
      <c r="Y46" s="34"/>
      <c r="Z46" s="34"/>
      <c r="AA46" s="34"/>
      <c r="AB46" s="34"/>
      <c r="AC46" s="34"/>
      <c r="AD46" s="34"/>
      <c r="AE46" s="34"/>
      <c r="AF46" s="34"/>
      <c r="AG46" s="34"/>
      <c r="AH46" s="34"/>
      <c r="AI46" s="34"/>
      <c r="AJ46" s="34">
        <f t="shared" si="17"/>
        <v>0</v>
      </c>
      <c r="AK46" s="34">
        <f t="shared" si="18"/>
        <v>0</v>
      </c>
      <c r="AL46" s="34" t="str">
        <f t="shared" si="19"/>
        <v/>
      </c>
      <c r="AM46" s="38">
        <f t="shared" si="20"/>
        <v>0</v>
      </c>
      <c r="AN46" s="34">
        <f t="shared" si="4"/>
        <v>0</v>
      </c>
      <c r="AO46" s="34"/>
      <c r="AP46" s="34"/>
    </row>
    <row r="47" spans="1:42">
      <c r="N47" s="34"/>
      <c r="O47" s="34"/>
      <c r="P47" s="34"/>
      <c r="Q47" s="34"/>
      <c r="R47" s="34"/>
      <c r="S47" s="34"/>
      <c r="T47" s="34"/>
      <c r="U47" s="34"/>
      <c r="V47" s="34"/>
      <c r="W47" s="34"/>
      <c r="X47" s="34"/>
      <c r="Y47" s="34"/>
      <c r="Z47" s="34"/>
      <c r="AA47" s="34"/>
      <c r="AB47" s="34"/>
      <c r="AC47" s="34"/>
      <c r="AD47" s="34"/>
      <c r="AE47" s="34"/>
      <c r="AF47" s="34"/>
      <c r="AG47" s="34"/>
      <c r="AH47" s="34"/>
      <c r="AI47" s="34"/>
      <c r="AJ47" s="34">
        <f t="shared" si="17"/>
        <v>0</v>
      </c>
      <c r="AK47" s="34">
        <f t="shared" si="18"/>
        <v>0</v>
      </c>
      <c r="AL47" s="34" t="str">
        <f t="shared" si="19"/>
        <v/>
      </c>
      <c r="AM47" s="38">
        <f t="shared" si="20"/>
        <v>0</v>
      </c>
      <c r="AN47" s="34">
        <f t="shared" si="4"/>
        <v>0</v>
      </c>
      <c r="AO47" s="34"/>
      <c r="AP47" s="34"/>
    </row>
    <row r="48" spans="1:42">
      <c r="N48" s="34"/>
      <c r="O48" s="34"/>
      <c r="P48" s="34"/>
      <c r="Q48" s="34"/>
      <c r="R48" s="34"/>
      <c r="S48" s="34"/>
      <c r="T48" s="34"/>
      <c r="U48" s="34"/>
      <c r="V48" s="34"/>
      <c r="W48" s="34"/>
      <c r="X48" s="34"/>
      <c r="Y48" s="34"/>
      <c r="Z48" s="34"/>
      <c r="AA48" s="34"/>
      <c r="AB48" s="34"/>
      <c r="AC48" s="34"/>
      <c r="AD48" s="34"/>
      <c r="AE48" s="34"/>
      <c r="AF48" s="34"/>
      <c r="AG48" s="34"/>
      <c r="AH48" s="34"/>
      <c r="AI48" s="34"/>
      <c r="AJ48" s="34">
        <f t="shared" si="17"/>
        <v>0</v>
      </c>
      <c r="AK48" s="34">
        <f t="shared" si="18"/>
        <v>0</v>
      </c>
      <c r="AL48" s="34" t="str">
        <f t="shared" si="19"/>
        <v/>
      </c>
      <c r="AM48" s="38">
        <f t="shared" si="20"/>
        <v>0</v>
      </c>
      <c r="AN48" s="34">
        <f t="shared" si="4"/>
        <v>0</v>
      </c>
      <c r="AO48" s="34"/>
      <c r="AP48" s="34"/>
    </row>
    <row r="49" spans="14:42">
      <c r="N49" s="34"/>
      <c r="O49" s="34"/>
      <c r="P49" s="34"/>
      <c r="Q49" s="34"/>
      <c r="R49" s="34"/>
      <c r="S49" s="34"/>
      <c r="T49" s="34"/>
      <c r="U49" s="34"/>
      <c r="V49" s="34"/>
      <c r="W49" s="34"/>
      <c r="X49" s="34"/>
      <c r="Y49" s="34"/>
      <c r="Z49" s="34"/>
      <c r="AA49" s="34"/>
      <c r="AB49" s="34"/>
      <c r="AC49" s="34"/>
      <c r="AD49" s="34"/>
      <c r="AE49" s="34"/>
      <c r="AF49" s="34"/>
      <c r="AG49" s="34"/>
      <c r="AH49" s="34"/>
      <c r="AI49" s="34"/>
      <c r="AJ49" s="34">
        <f t="shared" si="17"/>
        <v>0</v>
      </c>
      <c r="AK49" s="34">
        <f t="shared" si="18"/>
        <v>0</v>
      </c>
      <c r="AL49" s="34" t="str">
        <f t="shared" si="19"/>
        <v/>
      </c>
      <c r="AM49" s="38">
        <f t="shared" si="20"/>
        <v>0</v>
      </c>
      <c r="AN49" s="34">
        <f t="shared" si="4"/>
        <v>0</v>
      </c>
      <c r="AO49" s="34"/>
      <c r="AP49" s="34"/>
    </row>
    <row r="50" spans="14:42">
      <c r="N50" s="34"/>
      <c r="O50" s="34"/>
      <c r="P50" s="34"/>
      <c r="Q50" s="34"/>
      <c r="R50" s="34"/>
      <c r="S50" s="34"/>
      <c r="T50" s="34"/>
      <c r="U50" s="34"/>
      <c r="V50" s="34"/>
      <c r="W50" s="34"/>
      <c r="X50" s="34"/>
      <c r="Y50" s="34"/>
      <c r="Z50" s="34"/>
      <c r="AA50" s="34"/>
      <c r="AB50" s="34"/>
      <c r="AC50" s="34"/>
      <c r="AD50" s="34"/>
      <c r="AE50" s="34"/>
      <c r="AF50" s="34"/>
      <c r="AG50" s="34"/>
      <c r="AH50" s="34"/>
      <c r="AI50" s="34"/>
      <c r="AJ50" s="34">
        <f t="shared" si="17"/>
        <v>0</v>
      </c>
      <c r="AK50" s="34">
        <f t="shared" si="18"/>
        <v>0</v>
      </c>
      <c r="AL50" s="34" t="str">
        <f t="shared" si="19"/>
        <v/>
      </c>
      <c r="AM50" s="38">
        <f t="shared" si="20"/>
        <v>0</v>
      </c>
      <c r="AN50" s="34">
        <f t="shared" si="4"/>
        <v>0</v>
      </c>
      <c r="AO50" s="34"/>
      <c r="AP50" s="34"/>
    </row>
    <row r="51" spans="14:42">
      <c r="N51" s="34"/>
      <c r="O51" s="34"/>
      <c r="P51" s="34"/>
      <c r="Q51" s="34"/>
      <c r="R51" s="34"/>
      <c r="S51" s="34"/>
      <c r="T51" s="34"/>
      <c r="U51" s="34"/>
      <c r="V51" s="34"/>
      <c r="W51" s="34"/>
      <c r="X51" s="34"/>
      <c r="Y51" s="34"/>
      <c r="Z51" s="34"/>
      <c r="AA51" s="34"/>
      <c r="AB51" s="34"/>
      <c r="AC51" s="34"/>
      <c r="AD51" s="34"/>
      <c r="AE51" s="34"/>
      <c r="AF51" s="34"/>
      <c r="AG51" s="34"/>
      <c r="AH51" s="34"/>
      <c r="AI51" s="34"/>
      <c r="AJ51" s="34">
        <f t="shared" si="17"/>
        <v>0</v>
      </c>
      <c r="AK51" s="34">
        <f t="shared" si="18"/>
        <v>0</v>
      </c>
      <c r="AL51" s="34" t="str">
        <f t="shared" si="19"/>
        <v/>
      </c>
      <c r="AM51" s="38">
        <f t="shared" si="20"/>
        <v>0</v>
      </c>
      <c r="AN51" s="34">
        <f t="shared" si="4"/>
        <v>0</v>
      </c>
      <c r="AO51" s="34"/>
      <c r="AP51" s="34"/>
    </row>
    <row r="52" spans="14:42">
      <c r="N52" s="34"/>
      <c r="O52" s="34"/>
      <c r="P52" s="34"/>
      <c r="Q52" s="34"/>
      <c r="R52" s="34"/>
      <c r="S52" s="34"/>
      <c r="T52" s="34"/>
      <c r="U52" s="34"/>
      <c r="V52" s="34"/>
      <c r="W52" s="34"/>
      <c r="X52" s="34"/>
      <c r="Y52" s="34"/>
      <c r="Z52" s="34"/>
      <c r="AA52" s="34"/>
      <c r="AB52" s="34"/>
      <c r="AC52" s="34"/>
      <c r="AD52" s="34"/>
      <c r="AE52" s="34"/>
      <c r="AF52" s="34"/>
      <c r="AG52" s="34"/>
      <c r="AH52" s="34"/>
      <c r="AI52" s="34"/>
      <c r="AJ52" s="34">
        <f t="shared" si="17"/>
        <v>0</v>
      </c>
      <c r="AK52" s="34">
        <f t="shared" si="18"/>
        <v>0</v>
      </c>
      <c r="AL52" s="34" t="str">
        <f t="shared" si="19"/>
        <v/>
      </c>
      <c r="AM52" s="38">
        <f t="shared" si="20"/>
        <v>0</v>
      </c>
      <c r="AN52" s="34">
        <f t="shared" si="4"/>
        <v>0</v>
      </c>
      <c r="AO52" s="34"/>
      <c r="AP52" s="34"/>
    </row>
    <row r="53" spans="14:42">
      <c r="N53" s="34"/>
      <c r="O53" s="34"/>
      <c r="P53" s="34"/>
      <c r="Q53" s="34"/>
      <c r="R53" s="34"/>
      <c r="S53" s="34"/>
      <c r="T53" s="34"/>
      <c r="U53" s="34"/>
      <c r="V53" s="34"/>
      <c r="W53" s="34"/>
      <c r="X53" s="34"/>
      <c r="Y53" s="34"/>
      <c r="Z53" s="34"/>
      <c r="AA53" s="34"/>
      <c r="AB53" s="34"/>
      <c r="AC53" s="34"/>
      <c r="AD53" s="34"/>
      <c r="AE53" s="34"/>
      <c r="AF53" s="34"/>
      <c r="AG53" s="34"/>
      <c r="AH53" s="34"/>
      <c r="AI53" s="34"/>
      <c r="AJ53" s="34">
        <f t="shared" si="17"/>
        <v>0</v>
      </c>
      <c r="AK53" s="34">
        <f t="shared" si="18"/>
        <v>0</v>
      </c>
      <c r="AL53" s="34" t="str">
        <f t="shared" si="19"/>
        <v/>
      </c>
      <c r="AM53" s="38">
        <f t="shared" si="20"/>
        <v>0</v>
      </c>
      <c r="AN53" s="34">
        <f t="shared" si="4"/>
        <v>0</v>
      </c>
      <c r="AO53" s="34"/>
      <c r="AP53" s="34"/>
    </row>
    <row r="54" spans="14:42">
      <c r="N54" s="34"/>
      <c r="O54" s="34"/>
      <c r="P54" s="34"/>
      <c r="Q54" s="34"/>
      <c r="R54" s="34"/>
      <c r="S54" s="34"/>
      <c r="T54" s="34"/>
      <c r="U54" s="34"/>
      <c r="V54" s="34"/>
      <c r="W54" s="34"/>
      <c r="X54" s="34"/>
      <c r="Y54" s="34"/>
      <c r="Z54" s="34"/>
      <c r="AA54" s="34"/>
      <c r="AB54" s="34"/>
      <c r="AC54" s="34"/>
      <c r="AD54" s="34"/>
      <c r="AE54" s="34"/>
      <c r="AF54" s="34"/>
      <c r="AG54" s="34"/>
      <c r="AH54" s="34"/>
      <c r="AI54" s="34"/>
      <c r="AJ54" s="34">
        <f t="shared" si="17"/>
        <v>0</v>
      </c>
      <c r="AK54" s="34">
        <f t="shared" si="18"/>
        <v>0</v>
      </c>
      <c r="AL54" s="34" t="str">
        <f t="shared" si="19"/>
        <v/>
      </c>
      <c r="AM54" s="38">
        <f t="shared" si="20"/>
        <v>0</v>
      </c>
      <c r="AN54" s="34">
        <f t="shared" si="4"/>
        <v>0</v>
      </c>
      <c r="AO54" s="34"/>
      <c r="AP54" s="34"/>
    </row>
    <row r="55" spans="14:42">
      <c r="N55" s="34"/>
      <c r="O55" s="34"/>
      <c r="P55" s="34"/>
      <c r="Q55" s="34"/>
      <c r="R55" s="34"/>
      <c r="S55" s="34"/>
      <c r="T55" s="34"/>
      <c r="U55" s="34"/>
      <c r="V55" s="34"/>
      <c r="W55" s="34"/>
      <c r="X55" s="34"/>
      <c r="Y55" s="34"/>
      <c r="Z55" s="34"/>
      <c r="AA55" s="34"/>
      <c r="AB55" s="34"/>
      <c r="AC55" s="34"/>
      <c r="AD55" s="34"/>
      <c r="AE55" s="34"/>
      <c r="AF55" s="34"/>
      <c r="AG55" s="34"/>
      <c r="AH55" s="34"/>
      <c r="AI55" s="34"/>
      <c r="AJ55" s="34">
        <f t="shared" si="17"/>
        <v>0</v>
      </c>
      <c r="AK55" s="34">
        <f t="shared" si="18"/>
        <v>0</v>
      </c>
      <c r="AL55" s="34" t="str">
        <f t="shared" si="19"/>
        <v/>
      </c>
      <c r="AM55" s="38">
        <f t="shared" si="20"/>
        <v>0</v>
      </c>
      <c r="AN55" s="34">
        <f t="shared" si="4"/>
        <v>0</v>
      </c>
      <c r="AO55" s="34"/>
      <c r="AP55" s="34"/>
    </row>
    <row r="56" spans="14:42">
      <c r="N56" s="34"/>
      <c r="O56" s="34"/>
      <c r="P56" s="34"/>
      <c r="Q56" s="34"/>
      <c r="R56" s="34"/>
      <c r="S56" s="34"/>
      <c r="T56" s="34"/>
      <c r="U56" s="34"/>
      <c r="V56" s="34"/>
      <c r="W56" s="34"/>
      <c r="X56" s="34"/>
      <c r="Y56" s="34"/>
      <c r="Z56" s="34"/>
      <c r="AA56" s="34"/>
      <c r="AB56" s="34"/>
      <c r="AC56" s="34"/>
      <c r="AD56" s="34"/>
      <c r="AE56" s="34"/>
      <c r="AF56" s="34"/>
      <c r="AG56" s="34"/>
      <c r="AH56" s="34"/>
      <c r="AI56" s="34"/>
      <c r="AJ56" s="34">
        <f t="shared" si="17"/>
        <v>0</v>
      </c>
      <c r="AK56" s="34">
        <f t="shared" si="18"/>
        <v>0</v>
      </c>
      <c r="AL56" s="34" t="str">
        <f t="shared" si="19"/>
        <v/>
      </c>
      <c r="AM56" s="38">
        <f t="shared" si="20"/>
        <v>0</v>
      </c>
      <c r="AN56" s="34">
        <f t="shared" si="4"/>
        <v>0</v>
      </c>
      <c r="AO56" s="34"/>
      <c r="AP56" s="34"/>
    </row>
    <row r="57" spans="14:42">
      <c r="N57" s="34"/>
      <c r="O57" s="34"/>
      <c r="P57" s="34"/>
      <c r="Q57" s="34"/>
      <c r="R57" s="34"/>
      <c r="S57" s="34"/>
      <c r="T57" s="34"/>
      <c r="U57" s="34"/>
      <c r="V57" s="34"/>
      <c r="W57" s="34"/>
      <c r="X57" s="34"/>
      <c r="Y57" s="34"/>
      <c r="Z57" s="34"/>
      <c r="AA57" s="34"/>
      <c r="AB57" s="34"/>
      <c r="AC57" s="34"/>
      <c r="AD57" s="34"/>
      <c r="AE57" s="34"/>
      <c r="AF57" s="34"/>
      <c r="AG57" s="34"/>
      <c r="AH57" s="34"/>
      <c r="AI57" s="34"/>
      <c r="AJ57" s="34">
        <f t="shared" si="17"/>
        <v>0</v>
      </c>
      <c r="AK57" s="34">
        <f t="shared" si="18"/>
        <v>0</v>
      </c>
      <c r="AL57" s="34" t="str">
        <f t="shared" si="19"/>
        <v/>
      </c>
      <c r="AM57" s="38">
        <f t="shared" si="20"/>
        <v>0</v>
      </c>
      <c r="AN57" s="34">
        <f t="shared" si="4"/>
        <v>0</v>
      </c>
      <c r="AO57" s="34"/>
      <c r="AP57" s="34"/>
    </row>
    <row r="58" spans="14:42">
      <c r="N58" s="34"/>
      <c r="O58" s="34"/>
      <c r="P58" s="34"/>
      <c r="Q58" s="34"/>
      <c r="R58" s="34"/>
      <c r="S58" s="34"/>
      <c r="T58" s="34"/>
      <c r="U58" s="34"/>
      <c r="V58" s="34"/>
      <c r="W58" s="34"/>
      <c r="X58" s="34"/>
      <c r="Y58" s="34"/>
      <c r="Z58" s="34"/>
      <c r="AA58" s="34"/>
      <c r="AB58" s="34"/>
      <c r="AC58" s="34"/>
      <c r="AD58" s="34"/>
      <c r="AE58" s="34"/>
      <c r="AF58" s="34"/>
      <c r="AG58" s="34"/>
      <c r="AH58" s="34"/>
      <c r="AI58" s="34"/>
      <c r="AJ58" s="34">
        <f t="shared" si="17"/>
        <v>0</v>
      </c>
      <c r="AK58" s="34">
        <f t="shared" si="18"/>
        <v>0</v>
      </c>
      <c r="AL58" s="34" t="str">
        <f t="shared" si="19"/>
        <v/>
      </c>
      <c r="AM58" s="38">
        <f t="shared" si="20"/>
        <v>0</v>
      </c>
      <c r="AN58" s="34">
        <f t="shared" si="4"/>
        <v>0</v>
      </c>
      <c r="AO58" s="34"/>
      <c r="AP58" s="34"/>
    </row>
    <row r="59" spans="14:42">
      <c r="N59" s="34"/>
      <c r="O59" s="34"/>
      <c r="P59" s="34"/>
      <c r="Q59" s="34"/>
      <c r="R59" s="34"/>
      <c r="S59" s="34"/>
      <c r="T59" s="34"/>
      <c r="U59" s="34"/>
      <c r="V59" s="34"/>
      <c r="W59" s="34"/>
      <c r="X59" s="34"/>
      <c r="Y59" s="34"/>
      <c r="Z59" s="34"/>
      <c r="AA59" s="34"/>
      <c r="AB59" s="34"/>
      <c r="AC59" s="34"/>
      <c r="AD59" s="34"/>
      <c r="AE59" s="34"/>
      <c r="AF59" s="34"/>
      <c r="AG59" s="34"/>
      <c r="AH59" s="34"/>
      <c r="AI59" s="34"/>
      <c r="AJ59" s="34">
        <f t="shared" si="17"/>
        <v>0</v>
      </c>
      <c r="AK59" s="34">
        <f t="shared" si="18"/>
        <v>0</v>
      </c>
      <c r="AL59" s="34" t="str">
        <f t="shared" si="19"/>
        <v/>
      </c>
      <c r="AM59" s="38">
        <f t="shared" si="20"/>
        <v>0</v>
      </c>
      <c r="AN59" s="34">
        <f t="shared" si="4"/>
        <v>0</v>
      </c>
      <c r="AO59" s="34"/>
      <c r="AP59" s="34"/>
    </row>
    <row r="60" spans="14:42">
      <c r="N60" s="34"/>
      <c r="O60" s="34"/>
      <c r="P60" s="34"/>
      <c r="Q60" s="34"/>
      <c r="R60" s="34"/>
      <c r="S60" s="34"/>
      <c r="T60" s="34"/>
      <c r="U60" s="34"/>
      <c r="V60" s="34"/>
      <c r="W60" s="34"/>
      <c r="X60" s="34"/>
      <c r="Y60" s="34"/>
      <c r="Z60" s="34"/>
      <c r="AA60" s="34"/>
      <c r="AB60" s="34"/>
      <c r="AC60" s="34"/>
      <c r="AD60" s="34"/>
      <c r="AE60" s="34"/>
      <c r="AF60" s="34"/>
      <c r="AG60" s="34"/>
      <c r="AH60" s="34"/>
      <c r="AI60" s="34"/>
      <c r="AJ60" s="34">
        <f t="shared" si="17"/>
        <v>0</v>
      </c>
      <c r="AK60" s="34">
        <f t="shared" si="18"/>
        <v>0</v>
      </c>
      <c r="AL60" s="34" t="str">
        <f t="shared" si="19"/>
        <v/>
      </c>
      <c r="AM60" s="38">
        <f t="shared" si="20"/>
        <v>0</v>
      </c>
      <c r="AN60" s="34">
        <f t="shared" si="4"/>
        <v>0</v>
      </c>
      <c r="AO60" s="34"/>
      <c r="AP60" s="34"/>
    </row>
    <row r="61" spans="14:42">
      <c r="N61" s="34"/>
      <c r="O61" s="34"/>
      <c r="P61" s="34"/>
      <c r="Q61" s="34"/>
      <c r="R61" s="34"/>
      <c r="S61" s="34"/>
      <c r="T61" s="34"/>
      <c r="U61" s="34"/>
      <c r="V61" s="34"/>
      <c r="W61" s="34"/>
      <c r="X61" s="34"/>
      <c r="Y61" s="34"/>
      <c r="Z61" s="34"/>
      <c r="AA61" s="34"/>
      <c r="AB61" s="34"/>
      <c r="AC61" s="34"/>
      <c r="AD61" s="34"/>
      <c r="AE61" s="34"/>
      <c r="AF61" s="34"/>
      <c r="AG61" s="34"/>
      <c r="AH61" s="34"/>
      <c r="AI61" s="34"/>
      <c r="AJ61" s="34">
        <f t="shared" si="17"/>
        <v>0</v>
      </c>
      <c r="AK61" s="34">
        <f t="shared" si="18"/>
        <v>0</v>
      </c>
      <c r="AL61" s="34" t="str">
        <f t="shared" si="19"/>
        <v/>
      </c>
      <c r="AM61" s="38">
        <f t="shared" si="20"/>
        <v>0</v>
      </c>
      <c r="AN61" s="34">
        <f t="shared" si="4"/>
        <v>0</v>
      </c>
      <c r="AO61" s="34"/>
      <c r="AP61" s="34"/>
    </row>
    <row r="62" spans="14:42">
      <c r="N62" s="34"/>
      <c r="O62" s="34"/>
      <c r="P62" s="34"/>
      <c r="Q62" s="34"/>
      <c r="R62" s="34"/>
      <c r="S62" s="34"/>
      <c r="T62" s="34"/>
      <c r="U62" s="34"/>
      <c r="V62" s="34"/>
      <c r="W62" s="34"/>
      <c r="X62" s="34"/>
      <c r="Y62" s="34"/>
      <c r="Z62" s="34"/>
      <c r="AA62" s="34"/>
      <c r="AB62" s="34"/>
      <c r="AC62" s="34"/>
      <c r="AD62" s="34"/>
      <c r="AE62" s="34"/>
      <c r="AF62" s="34"/>
      <c r="AG62" s="34"/>
      <c r="AH62" s="34"/>
      <c r="AI62" s="34"/>
      <c r="AJ62" s="34">
        <f t="shared" si="17"/>
        <v>0</v>
      </c>
      <c r="AK62" s="34">
        <f t="shared" si="18"/>
        <v>0</v>
      </c>
      <c r="AL62" s="34" t="str">
        <f t="shared" si="19"/>
        <v/>
      </c>
      <c r="AM62" s="38">
        <f t="shared" si="20"/>
        <v>0</v>
      </c>
      <c r="AN62" s="34">
        <f t="shared" si="4"/>
        <v>0</v>
      </c>
      <c r="AO62" s="34"/>
      <c r="AP62" s="34"/>
    </row>
    <row r="63" spans="14:42">
      <c r="N63" s="34"/>
      <c r="O63" s="34"/>
      <c r="P63" s="34"/>
      <c r="Q63" s="34"/>
      <c r="R63" s="34"/>
      <c r="S63" s="34"/>
      <c r="T63" s="34"/>
      <c r="U63" s="34"/>
      <c r="V63" s="34"/>
      <c r="W63" s="34"/>
      <c r="X63" s="34"/>
      <c r="Y63" s="34"/>
      <c r="Z63" s="34"/>
      <c r="AA63" s="34"/>
      <c r="AB63" s="34"/>
      <c r="AC63" s="34"/>
      <c r="AD63" s="34"/>
      <c r="AE63" s="34"/>
      <c r="AF63" s="34"/>
      <c r="AG63" s="34"/>
      <c r="AH63" s="34"/>
      <c r="AI63" s="34"/>
      <c r="AJ63" s="34">
        <f t="shared" si="17"/>
        <v>0</v>
      </c>
      <c r="AK63" s="34">
        <f t="shared" si="18"/>
        <v>0</v>
      </c>
      <c r="AL63" s="34" t="str">
        <f t="shared" si="19"/>
        <v/>
      </c>
      <c r="AM63" s="38">
        <f t="shared" si="20"/>
        <v>0</v>
      </c>
      <c r="AN63" s="34">
        <f t="shared" si="4"/>
        <v>0</v>
      </c>
      <c r="AO63" s="34"/>
      <c r="AP63" s="34"/>
    </row>
    <row r="64" spans="14:42">
      <c r="N64" s="34"/>
      <c r="O64" s="34"/>
      <c r="P64" s="34"/>
      <c r="Q64" s="34"/>
      <c r="R64" s="34"/>
      <c r="S64" s="34"/>
      <c r="T64" s="34"/>
      <c r="U64" s="34"/>
      <c r="V64" s="34"/>
      <c r="W64" s="34"/>
      <c r="X64" s="34"/>
      <c r="Y64" s="34"/>
      <c r="Z64" s="34"/>
      <c r="AA64" s="34"/>
      <c r="AB64" s="34"/>
      <c r="AC64" s="34"/>
      <c r="AD64" s="34"/>
      <c r="AE64" s="34"/>
      <c r="AF64" s="34"/>
      <c r="AG64" s="34"/>
      <c r="AH64" s="34"/>
      <c r="AI64" s="34"/>
      <c r="AJ64" s="34">
        <f t="shared" si="17"/>
        <v>0</v>
      </c>
      <c r="AK64" s="34">
        <f t="shared" si="18"/>
        <v>0</v>
      </c>
      <c r="AL64" s="34" t="str">
        <f t="shared" si="19"/>
        <v/>
      </c>
      <c r="AM64" s="38">
        <f t="shared" si="20"/>
        <v>0</v>
      </c>
      <c r="AN64" s="34">
        <f t="shared" si="4"/>
        <v>0</v>
      </c>
      <c r="AO64" s="34"/>
      <c r="AP64" s="34"/>
    </row>
    <row r="65" spans="14:42">
      <c r="N65" s="34"/>
      <c r="O65" s="34"/>
      <c r="P65" s="34"/>
      <c r="Q65" s="34"/>
      <c r="R65" s="34"/>
      <c r="S65" s="34"/>
      <c r="T65" s="34"/>
      <c r="U65" s="34"/>
      <c r="V65" s="34"/>
      <c r="W65" s="34"/>
      <c r="X65" s="34"/>
      <c r="Y65" s="34"/>
      <c r="Z65" s="34"/>
      <c r="AA65" s="34"/>
      <c r="AB65" s="34"/>
      <c r="AC65" s="34"/>
      <c r="AD65" s="34"/>
      <c r="AE65" s="34"/>
      <c r="AF65" s="34"/>
      <c r="AG65" s="34"/>
      <c r="AH65" s="34"/>
      <c r="AI65" s="34"/>
      <c r="AJ65" s="34">
        <f t="shared" si="17"/>
        <v>0</v>
      </c>
      <c r="AK65" s="34">
        <f t="shared" si="18"/>
        <v>0</v>
      </c>
      <c r="AL65" s="34" t="str">
        <f t="shared" si="19"/>
        <v/>
      </c>
      <c r="AM65" s="38">
        <f t="shared" si="20"/>
        <v>0</v>
      </c>
      <c r="AN65" s="34">
        <f t="shared" si="4"/>
        <v>0</v>
      </c>
      <c r="AO65" s="34"/>
      <c r="AP65" s="34"/>
    </row>
    <row r="66" spans="14:42">
      <c r="N66" s="34"/>
      <c r="O66" s="34"/>
      <c r="P66" s="34"/>
      <c r="Q66" s="34"/>
      <c r="R66" s="34"/>
      <c r="S66" s="34"/>
      <c r="T66" s="34"/>
      <c r="U66" s="34"/>
      <c r="V66" s="34"/>
      <c r="W66" s="34"/>
      <c r="X66" s="34"/>
      <c r="Y66" s="34"/>
      <c r="Z66" s="34"/>
      <c r="AA66" s="34"/>
      <c r="AB66" s="34"/>
      <c r="AC66" s="34"/>
      <c r="AD66" s="34"/>
      <c r="AE66" s="34"/>
      <c r="AF66" s="34"/>
      <c r="AG66" s="34"/>
      <c r="AH66" s="34"/>
      <c r="AI66" s="34"/>
      <c r="AJ66" s="34">
        <f t="shared" si="17"/>
        <v>0</v>
      </c>
      <c r="AK66" s="34">
        <f t="shared" si="18"/>
        <v>0</v>
      </c>
      <c r="AL66" s="34" t="str">
        <f t="shared" si="19"/>
        <v/>
      </c>
      <c r="AM66" s="38">
        <f t="shared" si="20"/>
        <v>0</v>
      </c>
      <c r="AN66" s="34">
        <f t="shared" si="4"/>
        <v>0</v>
      </c>
      <c r="AO66" s="34"/>
      <c r="AP66" s="34"/>
    </row>
    <row r="67" spans="14:42">
      <c r="N67" s="34"/>
      <c r="O67" s="34"/>
      <c r="P67" s="34"/>
      <c r="Q67" s="34"/>
      <c r="R67" s="34"/>
      <c r="S67" s="34"/>
      <c r="T67" s="34"/>
      <c r="U67" s="34"/>
      <c r="V67" s="34"/>
      <c r="W67" s="34"/>
      <c r="X67" s="34"/>
      <c r="Y67" s="34"/>
      <c r="Z67" s="34"/>
      <c r="AA67" s="34"/>
      <c r="AB67" s="34"/>
      <c r="AC67" s="34"/>
      <c r="AD67" s="34"/>
      <c r="AE67" s="34"/>
      <c r="AF67" s="34"/>
      <c r="AG67" s="34"/>
      <c r="AH67" s="34"/>
      <c r="AI67" s="34"/>
      <c r="AJ67" s="34">
        <f t="shared" si="17"/>
        <v>0</v>
      </c>
      <c r="AK67" s="34">
        <f t="shared" si="18"/>
        <v>0</v>
      </c>
      <c r="AL67" s="34" t="str">
        <f t="shared" si="19"/>
        <v/>
      </c>
      <c r="AM67" s="38">
        <f t="shared" si="20"/>
        <v>0</v>
      </c>
      <c r="AN67" s="34">
        <f t="shared" ref="AN67:AN130" si="23">L74</f>
        <v>0</v>
      </c>
      <c r="AO67" s="34"/>
      <c r="AP67" s="34"/>
    </row>
    <row r="68" spans="14:42">
      <c r="N68" s="34"/>
      <c r="O68" s="34"/>
      <c r="P68" s="34"/>
      <c r="Q68" s="34"/>
      <c r="R68" s="34"/>
      <c r="S68" s="34"/>
      <c r="T68" s="34"/>
      <c r="U68" s="34"/>
      <c r="V68" s="34"/>
      <c r="W68" s="34"/>
      <c r="X68" s="34"/>
      <c r="Y68" s="34"/>
      <c r="Z68" s="34"/>
      <c r="AA68" s="34"/>
      <c r="AB68" s="34"/>
      <c r="AC68" s="34"/>
      <c r="AD68" s="34"/>
      <c r="AE68" s="34"/>
      <c r="AF68" s="34"/>
      <c r="AG68" s="34"/>
      <c r="AH68" s="34"/>
      <c r="AI68" s="34"/>
      <c r="AJ68" s="34">
        <f t="shared" si="17"/>
        <v>0</v>
      </c>
      <c r="AK68" s="34">
        <f t="shared" si="18"/>
        <v>0</v>
      </c>
      <c r="AL68" s="34" t="str">
        <f t="shared" si="19"/>
        <v/>
      </c>
      <c r="AM68" s="38">
        <f t="shared" si="20"/>
        <v>0</v>
      </c>
      <c r="AN68" s="34">
        <f t="shared" si="23"/>
        <v>0</v>
      </c>
      <c r="AO68" s="34"/>
      <c r="AP68" s="34"/>
    </row>
    <row r="69" spans="14:42">
      <c r="N69" s="34"/>
      <c r="O69" s="34"/>
      <c r="P69" s="34"/>
      <c r="Q69" s="34"/>
      <c r="R69" s="34"/>
      <c r="S69" s="34"/>
      <c r="T69" s="34"/>
      <c r="U69" s="34"/>
      <c r="V69" s="34"/>
      <c r="W69" s="34"/>
      <c r="X69" s="34"/>
      <c r="Y69" s="34"/>
      <c r="Z69" s="34"/>
      <c r="AA69" s="34"/>
      <c r="AB69" s="34"/>
      <c r="AC69" s="34"/>
      <c r="AD69" s="34"/>
      <c r="AE69" s="34"/>
      <c r="AF69" s="34"/>
      <c r="AG69" s="34"/>
      <c r="AH69" s="34"/>
      <c r="AI69" s="34"/>
      <c r="AJ69" s="34">
        <f t="shared" si="17"/>
        <v>0</v>
      </c>
      <c r="AK69" s="34">
        <f t="shared" si="18"/>
        <v>0</v>
      </c>
      <c r="AL69" s="34" t="str">
        <f t="shared" si="19"/>
        <v/>
      </c>
      <c r="AM69" s="38">
        <f t="shared" si="20"/>
        <v>0</v>
      </c>
      <c r="AN69" s="34">
        <f t="shared" si="23"/>
        <v>0</v>
      </c>
      <c r="AO69" s="34"/>
      <c r="AP69" s="34"/>
    </row>
    <row r="70" spans="14:42">
      <c r="N70" s="34"/>
      <c r="O70" s="34"/>
      <c r="P70" s="34"/>
      <c r="Q70" s="34"/>
      <c r="R70" s="34"/>
      <c r="S70" s="34"/>
      <c r="T70" s="34"/>
      <c r="U70" s="34"/>
      <c r="V70" s="34"/>
      <c r="W70" s="34"/>
      <c r="X70" s="34"/>
      <c r="Y70" s="34"/>
      <c r="Z70" s="34"/>
      <c r="AA70" s="34"/>
      <c r="AB70" s="34"/>
      <c r="AC70" s="34"/>
      <c r="AD70" s="34"/>
      <c r="AE70" s="34"/>
      <c r="AF70" s="34"/>
      <c r="AG70" s="34"/>
      <c r="AH70" s="34"/>
      <c r="AI70" s="34"/>
      <c r="AJ70" s="34">
        <f t="shared" si="17"/>
        <v>0</v>
      </c>
      <c r="AK70" s="34">
        <f t="shared" si="18"/>
        <v>0</v>
      </c>
      <c r="AL70" s="34" t="str">
        <f t="shared" si="19"/>
        <v/>
      </c>
      <c r="AM70" s="38">
        <f t="shared" si="20"/>
        <v>0</v>
      </c>
      <c r="AN70" s="34">
        <f t="shared" si="23"/>
        <v>0</v>
      </c>
      <c r="AO70" s="34"/>
      <c r="AP70" s="34"/>
    </row>
    <row r="71" spans="14:42">
      <c r="N71" s="34"/>
      <c r="O71" s="34"/>
      <c r="P71" s="34"/>
      <c r="Q71" s="34"/>
      <c r="R71" s="34"/>
      <c r="S71" s="34"/>
      <c r="T71" s="34"/>
      <c r="U71" s="34"/>
      <c r="V71" s="34"/>
      <c r="W71" s="34"/>
      <c r="X71" s="34"/>
      <c r="Y71" s="34"/>
      <c r="Z71" s="34"/>
      <c r="AA71" s="34"/>
      <c r="AB71" s="34"/>
      <c r="AC71" s="34"/>
      <c r="AD71" s="34"/>
      <c r="AE71" s="34"/>
      <c r="AF71" s="34"/>
      <c r="AG71" s="34"/>
      <c r="AH71" s="34"/>
      <c r="AI71" s="34"/>
      <c r="AJ71" s="34">
        <f t="shared" si="17"/>
        <v>0</v>
      </c>
      <c r="AK71" s="34">
        <f t="shared" si="18"/>
        <v>0</v>
      </c>
      <c r="AL71" s="34" t="str">
        <f t="shared" si="19"/>
        <v/>
      </c>
      <c r="AM71" s="38">
        <f t="shared" si="20"/>
        <v>0</v>
      </c>
      <c r="AN71" s="34">
        <f t="shared" si="23"/>
        <v>0</v>
      </c>
      <c r="AO71" s="34"/>
      <c r="AP71" s="34"/>
    </row>
    <row r="72" spans="14:42">
      <c r="N72" s="34"/>
      <c r="O72" s="34"/>
      <c r="P72" s="34"/>
      <c r="Q72" s="34"/>
      <c r="R72" s="34"/>
      <c r="S72" s="34"/>
      <c r="T72" s="34"/>
      <c r="U72" s="34"/>
      <c r="V72" s="34"/>
      <c r="W72" s="34"/>
      <c r="X72" s="34"/>
      <c r="Y72" s="34"/>
      <c r="Z72" s="34"/>
      <c r="AA72" s="34"/>
      <c r="AB72" s="34"/>
      <c r="AC72" s="34"/>
      <c r="AD72" s="34"/>
      <c r="AE72" s="34"/>
      <c r="AF72" s="34"/>
      <c r="AG72" s="34"/>
      <c r="AH72" s="34"/>
      <c r="AI72" s="34"/>
      <c r="AJ72" s="34">
        <f t="shared" si="17"/>
        <v>0</v>
      </c>
      <c r="AK72" s="34">
        <f t="shared" si="18"/>
        <v>0</v>
      </c>
      <c r="AL72" s="34" t="str">
        <f t="shared" si="19"/>
        <v/>
      </c>
      <c r="AM72" s="38">
        <f t="shared" si="20"/>
        <v>0</v>
      </c>
      <c r="AN72" s="34">
        <f t="shared" si="23"/>
        <v>0</v>
      </c>
      <c r="AO72" s="34"/>
      <c r="AP72" s="34"/>
    </row>
    <row r="73" spans="14:42">
      <c r="N73" s="34"/>
      <c r="O73" s="34"/>
      <c r="P73" s="34"/>
      <c r="Q73" s="34"/>
      <c r="R73" s="34"/>
      <c r="S73" s="34"/>
      <c r="T73" s="34"/>
      <c r="U73" s="34"/>
      <c r="V73" s="34"/>
      <c r="W73" s="34"/>
      <c r="X73" s="34"/>
      <c r="Y73" s="34"/>
      <c r="Z73" s="34"/>
      <c r="AA73" s="34"/>
      <c r="AB73" s="34"/>
      <c r="AC73" s="34"/>
      <c r="AD73" s="34"/>
      <c r="AE73" s="34"/>
      <c r="AF73" s="34"/>
      <c r="AG73" s="34"/>
      <c r="AH73" s="34"/>
      <c r="AI73" s="34"/>
      <c r="AJ73" s="34">
        <f t="shared" si="17"/>
        <v>0</v>
      </c>
      <c r="AK73" s="34">
        <f t="shared" si="18"/>
        <v>0</v>
      </c>
      <c r="AL73" s="34" t="str">
        <f t="shared" si="19"/>
        <v/>
      </c>
      <c r="AM73" s="38">
        <f t="shared" si="20"/>
        <v>0</v>
      </c>
      <c r="AN73" s="34">
        <f t="shared" si="23"/>
        <v>0</v>
      </c>
      <c r="AO73" s="34"/>
      <c r="AP73" s="34"/>
    </row>
    <row r="74" spans="14:42">
      <c r="N74" s="34"/>
      <c r="O74" s="34"/>
      <c r="P74" s="34"/>
      <c r="Q74" s="34"/>
      <c r="R74" s="34"/>
      <c r="S74" s="34"/>
      <c r="T74" s="34"/>
      <c r="U74" s="34"/>
      <c r="V74" s="34"/>
      <c r="W74" s="34"/>
      <c r="X74" s="34"/>
      <c r="Y74" s="34"/>
      <c r="Z74" s="34"/>
      <c r="AA74" s="34"/>
      <c r="AB74" s="34"/>
      <c r="AC74" s="34"/>
      <c r="AD74" s="34"/>
      <c r="AE74" s="34"/>
      <c r="AF74" s="34"/>
      <c r="AG74" s="34"/>
      <c r="AH74" s="34"/>
      <c r="AI74" s="34"/>
      <c r="AJ74" s="34">
        <f t="shared" si="17"/>
        <v>0</v>
      </c>
      <c r="AK74" s="34">
        <f t="shared" si="18"/>
        <v>0</v>
      </c>
      <c r="AL74" s="34" t="str">
        <f t="shared" si="19"/>
        <v/>
      </c>
      <c r="AM74" s="38">
        <f t="shared" si="20"/>
        <v>0</v>
      </c>
      <c r="AN74" s="34">
        <f t="shared" si="23"/>
        <v>0</v>
      </c>
      <c r="AO74" s="34"/>
      <c r="AP74" s="34"/>
    </row>
    <row r="75" spans="14:42">
      <c r="N75" s="34"/>
      <c r="O75" s="34"/>
      <c r="P75" s="34"/>
      <c r="Q75" s="34"/>
      <c r="R75" s="34"/>
      <c r="S75" s="34"/>
      <c r="T75" s="34"/>
      <c r="U75" s="34"/>
      <c r="V75" s="34"/>
      <c r="W75" s="34"/>
      <c r="X75" s="34"/>
      <c r="Y75" s="34"/>
      <c r="Z75" s="34"/>
      <c r="AA75" s="34"/>
      <c r="AB75" s="34"/>
      <c r="AC75" s="34"/>
      <c r="AD75" s="34"/>
      <c r="AE75" s="34"/>
      <c r="AF75" s="34"/>
      <c r="AG75" s="34"/>
      <c r="AH75" s="34"/>
      <c r="AI75" s="34"/>
      <c r="AJ75" s="34">
        <f t="shared" si="17"/>
        <v>0</v>
      </c>
      <c r="AK75" s="34">
        <f t="shared" si="18"/>
        <v>0</v>
      </c>
      <c r="AL75" s="34" t="str">
        <f t="shared" si="19"/>
        <v/>
      </c>
      <c r="AM75" s="38">
        <f t="shared" si="20"/>
        <v>0</v>
      </c>
      <c r="AN75" s="34">
        <f t="shared" si="23"/>
        <v>0</v>
      </c>
      <c r="AO75" s="34"/>
      <c r="AP75" s="34"/>
    </row>
    <row r="76" spans="14:42">
      <c r="N76" s="34"/>
      <c r="O76" s="34"/>
      <c r="P76" s="34"/>
      <c r="Q76" s="34"/>
      <c r="R76" s="34"/>
      <c r="S76" s="34"/>
      <c r="T76" s="34"/>
      <c r="U76" s="34"/>
      <c r="V76" s="34"/>
      <c r="W76" s="34"/>
      <c r="X76" s="34"/>
      <c r="Y76" s="34"/>
      <c r="Z76" s="34"/>
      <c r="AA76" s="34"/>
      <c r="AB76" s="34"/>
      <c r="AC76" s="34"/>
      <c r="AD76" s="34"/>
      <c r="AE76" s="34"/>
      <c r="AF76" s="34"/>
      <c r="AG76" s="34"/>
      <c r="AH76" s="34"/>
      <c r="AI76" s="34"/>
      <c r="AJ76" s="34">
        <f t="shared" si="17"/>
        <v>0</v>
      </c>
      <c r="AK76" s="34">
        <f t="shared" si="18"/>
        <v>0</v>
      </c>
      <c r="AL76" s="34" t="str">
        <f t="shared" si="19"/>
        <v/>
      </c>
      <c r="AM76" s="38">
        <f t="shared" si="20"/>
        <v>0</v>
      </c>
      <c r="AN76" s="34">
        <f t="shared" si="23"/>
        <v>0</v>
      </c>
      <c r="AO76" s="34"/>
      <c r="AP76" s="34"/>
    </row>
    <row r="77" spans="14:42">
      <c r="N77" s="34"/>
      <c r="O77" s="34"/>
      <c r="P77" s="34"/>
      <c r="Q77" s="34"/>
      <c r="R77" s="34"/>
      <c r="S77" s="34"/>
      <c r="T77" s="34"/>
      <c r="U77" s="34"/>
      <c r="V77" s="34"/>
      <c r="W77" s="34"/>
      <c r="X77" s="34"/>
      <c r="Y77" s="34"/>
      <c r="Z77" s="34"/>
      <c r="AA77" s="34"/>
      <c r="AB77" s="34"/>
      <c r="AC77" s="34"/>
      <c r="AD77" s="34"/>
      <c r="AE77" s="34"/>
      <c r="AF77" s="34"/>
      <c r="AG77" s="34"/>
      <c r="AH77" s="34"/>
      <c r="AI77" s="34"/>
      <c r="AJ77" s="34">
        <f t="shared" si="17"/>
        <v>0</v>
      </c>
      <c r="AK77" s="34">
        <f t="shared" si="18"/>
        <v>0</v>
      </c>
      <c r="AL77" s="34" t="str">
        <f t="shared" si="19"/>
        <v/>
      </c>
      <c r="AM77" s="38">
        <f t="shared" si="20"/>
        <v>0</v>
      </c>
      <c r="AN77" s="34">
        <f t="shared" si="23"/>
        <v>0</v>
      </c>
      <c r="AO77" s="34"/>
      <c r="AP77" s="34"/>
    </row>
    <row r="78" spans="14:42">
      <c r="N78" s="34"/>
      <c r="O78" s="34"/>
      <c r="P78" s="34"/>
      <c r="Q78" s="34"/>
      <c r="R78" s="34"/>
      <c r="S78" s="34"/>
      <c r="T78" s="34"/>
      <c r="U78" s="34"/>
      <c r="V78" s="34"/>
      <c r="W78" s="34"/>
      <c r="X78" s="34"/>
      <c r="Y78" s="34"/>
      <c r="Z78" s="34"/>
      <c r="AA78" s="34"/>
      <c r="AB78" s="34"/>
      <c r="AC78" s="34"/>
      <c r="AD78" s="34"/>
      <c r="AE78" s="34"/>
      <c r="AF78" s="34"/>
      <c r="AG78" s="34"/>
      <c r="AH78" s="34"/>
      <c r="AI78" s="34"/>
      <c r="AJ78" s="34">
        <f t="shared" si="17"/>
        <v>0</v>
      </c>
      <c r="AK78" s="34">
        <f t="shared" si="18"/>
        <v>0</v>
      </c>
      <c r="AL78" s="34" t="str">
        <f t="shared" si="19"/>
        <v/>
      </c>
      <c r="AM78" s="38">
        <f t="shared" si="20"/>
        <v>0</v>
      </c>
      <c r="AN78" s="34">
        <f t="shared" si="23"/>
        <v>0</v>
      </c>
      <c r="AO78" s="34"/>
      <c r="AP78" s="34"/>
    </row>
    <row r="79" spans="14:42">
      <c r="N79" s="34"/>
      <c r="O79" s="34"/>
      <c r="P79" s="34"/>
      <c r="Q79" s="34"/>
      <c r="R79" s="34"/>
      <c r="S79" s="34"/>
      <c r="T79" s="34"/>
      <c r="U79" s="34"/>
      <c r="V79" s="34"/>
      <c r="W79" s="34"/>
      <c r="X79" s="34"/>
      <c r="Y79" s="34"/>
      <c r="Z79" s="34"/>
      <c r="AA79" s="34"/>
      <c r="AB79" s="34"/>
      <c r="AC79" s="34"/>
      <c r="AD79" s="34"/>
      <c r="AE79" s="34"/>
      <c r="AF79" s="34"/>
      <c r="AG79" s="34"/>
      <c r="AH79" s="34"/>
      <c r="AI79" s="34"/>
      <c r="AJ79" s="34">
        <f t="shared" si="17"/>
        <v>0</v>
      </c>
      <c r="AK79" s="34">
        <f t="shared" si="18"/>
        <v>0</v>
      </c>
      <c r="AL79" s="34" t="str">
        <f t="shared" si="19"/>
        <v/>
      </c>
      <c r="AM79" s="38">
        <f t="shared" si="20"/>
        <v>0</v>
      </c>
      <c r="AN79" s="34">
        <f t="shared" si="23"/>
        <v>0</v>
      </c>
      <c r="AO79" s="34"/>
      <c r="AP79" s="34"/>
    </row>
    <row r="80" spans="14:42">
      <c r="N80" s="34"/>
      <c r="O80" s="34"/>
      <c r="P80" s="34"/>
      <c r="Q80" s="34"/>
      <c r="R80" s="34"/>
      <c r="S80" s="34"/>
      <c r="T80" s="34"/>
      <c r="U80" s="34"/>
      <c r="V80" s="34"/>
      <c r="W80" s="34"/>
      <c r="X80" s="34"/>
      <c r="Y80" s="34"/>
      <c r="Z80" s="34"/>
      <c r="AA80" s="34"/>
      <c r="AB80" s="34"/>
      <c r="AC80" s="34"/>
      <c r="AD80" s="34"/>
      <c r="AE80" s="34"/>
      <c r="AF80" s="34"/>
      <c r="AG80" s="34"/>
      <c r="AH80" s="34"/>
      <c r="AI80" s="34"/>
      <c r="AJ80" s="34">
        <f t="shared" si="17"/>
        <v>0</v>
      </c>
      <c r="AK80" s="34">
        <f t="shared" si="18"/>
        <v>0</v>
      </c>
      <c r="AL80" s="34" t="str">
        <f t="shared" si="19"/>
        <v/>
      </c>
      <c r="AM80" s="38">
        <f t="shared" si="20"/>
        <v>0</v>
      </c>
      <c r="AN80" s="34">
        <f t="shared" si="23"/>
        <v>0</v>
      </c>
      <c r="AO80" s="34"/>
      <c r="AP80" s="34"/>
    </row>
    <row r="81" spans="14:42">
      <c r="N81" s="34"/>
      <c r="O81" s="34"/>
      <c r="P81" s="34"/>
      <c r="Q81" s="34"/>
      <c r="R81" s="34"/>
      <c r="S81" s="34"/>
      <c r="T81" s="34"/>
      <c r="U81" s="34"/>
      <c r="V81" s="34"/>
      <c r="W81" s="34"/>
      <c r="X81" s="34"/>
      <c r="Y81" s="34"/>
      <c r="Z81" s="34"/>
      <c r="AA81" s="34"/>
      <c r="AB81" s="34"/>
      <c r="AC81" s="34"/>
      <c r="AD81" s="34"/>
      <c r="AE81" s="34"/>
      <c r="AF81" s="34"/>
      <c r="AG81" s="34"/>
      <c r="AH81" s="34"/>
      <c r="AI81" s="34"/>
      <c r="AJ81" s="34">
        <f t="shared" si="17"/>
        <v>0</v>
      </c>
      <c r="AK81" s="34">
        <f t="shared" si="18"/>
        <v>0</v>
      </c>
      <c r="AL81" s="34" t="str">
        <f t="shared" si="19"/>
        <v/>
      </c>
      <c r="AM81" s="38">
        <f t="shared" si="20"/>
        <v>0</v>
      </c>
      <c r="AN81" s="34">
        <f t="shared" si="23"/>
        <v>0</v>
      </c>
      <c r="AO81" s="34"/>
      <c r="AP81" s="34"/>
    </row>
    <row r="82" spans="14:42">
      <c r="N82" s="34"/>
      <c r="O82" s="34"/>
      <c r="P82" s="34"/>
      <c r="Q82" s="34"/>
      <c r="R82" s="34"/>
      <c r="S82" s="34"/>
      <c r="T82" s="34"/>
      <c r="U82" s="34"/>
      <c r="V82" s="34"/>
      <c r="W82" s="34"/>
      <c r="X82" s="34"/>
      <c r="Y82" s="34"/>
      <c r="Z82" s="34"/>
      <c r="AA82" s="34"/>
      <c r="AB82" s="34"/>
      <c r="AC82" s="34"/>
      <c r="AD82" s="34"/>
      <c r="AE82" s="34"/>
      <c r="AF82" s="34"/>
      <c r="AG82" s="34"/>
      <c r="AH82" s="34"/>
      <c r="AI82" s="34"/>
      <c r="AJ82" s="34">
        <f t="shared" si="17"/>
        <v>0</v>
      </c>
      <c r="AK82" s="34">
        <f t="shared" si="18"/>
        <v>0</v>
      </c>
      <c r="AL82" s="34" t="str">
        <f t="shared" si="19"/>
        <v/>
      </c>
      <c r="AM82" s="38">
        <f t="shared" si="20"/>
        <v>0</v>
      </c>
      <c r="AN82" s="34">
        <f t="shared" si="23"/>
        <v>0</v>
      </c>
      <c r="AO82" s="34"/>
      <c r="AP82" s="34"/>
    </row>
    <row r="83" spans="14:42">
      <c r="N83" s="34"/>
      <c r="O83" s="34"/>
      <c r="P83" s="34"/>
      <c r="Q83" s="34"/>
      <c r="R83" s="34"/>
      <c r="S83" s="34"/>
      <c r="T83" s="34"/>
      <c r="U83" s="34"/>
      <c r="V83" s="34"/>
      <c r="W83" s="34"/>
      <c r="X83" s="34"/>
      <c r="Y83" s="34"/>
      <c r="Z83" s="34"/>
      <c r="AA83" s="34"/>
      <c r="AB83" s="34"/>
      <c r="AC83" s="34"/>
      <c r="AD83" s="34"/>
      <c r="AE83" s="34"/>
      <c r="AF83" s="34"/>
      <c r="AG83" s="34"/>
      <c r="AH83" s="34"/>
      <c r="AI83" s="34"/>
      <c r="AJ83" s="34">
        <f t="shared" si="17"/>
        <v>0</v>
      </c>
      <c r="AK83" s="34">
        <f t="shared" si="18"/>
        <v>0</v>
      </c>
      <c r="AL83" s="34" t="str">
        <f t="shared" si="19"/>
        <v/>
      </c>
      <c r="AM83" s="38">
        <f t="shared" si="20"/>
        <v>0</v>
      </c>
      <c r="AN83" s="34">
        <f t="shared" si="23"/>
        <v>0</v>
      </c>
      <c r="AO83" s="34"/>
      <c r="AP83" s="34"/>
    </row>
    <row r="84" spans="14:42">
      <c r="N84" s="34"/>
      <c r="O84" s="34"/>
      <c r="P84" s="34"/>
      <c r="Q84" s="34"/>
      <c r="R84" s="34"/>
      <c r="S84" s="34"/>
      <c r="T84" s="34"/>
      <c r="U84" s="34"/>
      <c r="V84" s="34"/>
      <c r="W84" s="34"/>
      <c r="X84" s="34"/>
      <c r="Y84" s="34"/>
      <c r="Z84" s="34"/>
      <c r="AA84" s="34"/>
      <c r="AB84" s="34"/>
      <c r="AC84" s="34"/>
      <c r="AD84" s="34"/>
      <c r="AE84" s="34"/>
      <c r="AF84" s="34"/>
      <c r="AG84" s="34"/>
      <c r="AH84" s="34"/>
      <c r="AI84" s="34"/>
      <c r="AJ84" s="34">
        <f t="shared" si="17"/>
        <v>0</v>
      </c>
      <c r="AK84" s="34">
        <f t="shared" si="18"/>
        <v>0</v>
      </c>
      <c r="AL84" s="34" t="str">
        <f t="shared" si="19"/>
        <v/>
      </c>
      <c r="AM84" s="38">
        <f t="shared" si="20"/>
        <v>0</v>
      </c>
      <c r="AN84" s="34">
        <f t="shared" si="23"/>
        <v>0</v>
      </c>
      <c r="AO84" s="34"/>
      <c r="AP84" s="34"/>
    </row>
    <row r="85" spans="14:42">
      <c r="N85" s="34"/>
      <c r="O85" s="34"/>
      <c r="P85" s="34"/>
      <c r="Q85" s="34"/>
      <c r="R85" s="34"/>
      <c r="S85" s="34"/>
      <c r="T85" s="34"/>
      <c r="U85" s="34"/>
      <c r="V85" s="34"/>
      <c r="W85" s="34"/>
      <c r="X85" s="34"/>
      <c r="Y85" s="34"/>
      <c r="Z85" s="34"/>
      <c r="AA85" s="34"/>
      <c r="AB85" s="34"/>
      <c r="AC85" s="34"/>
      <c r="AD85" s="34"/>
      <c r="AE85" s="34"/>
      <c r="AF85" s="34"/>
      <c r="AG85" s="34"/>
      <c r="AH85" s="34"/>
      <c r="AI85" s="34"/>
      <c r="AJ85" s="34">
        <f t="shared" si="17"/>
        <v>0</v>
      </c>
      <c r="AK85" s="34">
        <f t="shared" si="18"/>
        <v>0</v>
      </c>
      <c r="AL85" s="34" t="str">
        <f t="shared" si="19"/>
        <v/>
      </c>
      <c r="AM85" s="38">
        <f t="shared" si="20"/>
        <v>0</v>
      </c>
      <c r="AN85" s="34">
        <f t="shared" si="23"/>
        <v>0</v>
      </c>
      <c r="AO85" s="34"/>
      <c r="AP85" s="34"/>
    </row>
    <row r="86" spans="14:42">
      <c r="N86" s="34"/>
      <c r="O86" s="34"/>
      <c r="P86" s="34"/>
      <c r="Q86" s="34"/>
      <c r="R86" s="34"/>
      <c r="S86" s="34"/>
      <c r="T86" s="34"/>
      <c r="U86" s="34"/>
      <c r="V86" s="34"/>
      <c r="W86" s="34"/>
      <c r="X86" s="34"/>
      <c r="Y86" s="34"/>
      <c r="Z86" s="34"/>
      <c r="AA86" s="34"/>
      <c r="AB86" s="34"/>
      <c r="AC86" s="34"/>
      <c r="AD86" s="34"/>
      <c r="AE86" s="34"/>
      <c r="AF86" s="34"/>
      <c r="AG86" s="34"/>
      <c r="AH86" s="34"/>
      <c r="AI86" s="34"/>
      <c r="AJ86" s="34">
        <f t="shared" si="17"/>
        <v>0</v>
      </c>
      <c r="AK86" s="34">
        <f t="shared" si="18"/>
        <v>0</v>
      </c>
      <c r="AL86" s="34" t="str">
        <f t="shared" si="19"/>
        <v/>
      </c>
      <c r="AM86" s="38">
        <f t="shared" si="20"/>
        <v>0</v>
      </c>
      <c r="AN86" s="34">
        <f t="shared" si="23"/>
        <v>0</v>
      </c>
      <c r="AO86" s="34"/>
      <c r="AP86" s="34"/>
    </row>
    <row r="87" spans="14:42">
      <c r="N87" s="34"/>
      <c r="O87" s="34"/>
      <c r="P87" s="34"/>
      <c r="Q87" s="34"/>
      <c r="R87" s="34"/>
      <c r="S87" s="34"/>
      <c r="T87" s="34"/>
      <c r="U87" s="34"/>
      <c r="V87" s="34"/>
      <c r="W87" s="34"/>
      <c r="X87" s="34"/>
      <c r="Y87" s="34"/>
      <c r="Z87" s="34"/>
      <c r="AA87" s="34"/>
      <c r="AB87" s="34"/>
      <c r="AC87" s="34"/>
      <c r="AD87" s="34"/>
      <c r="AE87" s="34"/>
      <c r="AF87" s="34"/>
      <c r="AG87" s="34"/>
      <c r="AH87" s="34"/>
      <c r="AI87" s="34"/>
      <c r="AJ87" s="34">
        <f t="shared" si="17"/>
        <v>0</v>
      </c>
      <c r="AK87" s="34">
        <f t="shared" si="18"/>
        <v>0</v>
      </c>
      <c r="AL87" s="34" t="str">
        <f t="shared" si="19"/>
        <v/>
      </c>
      <c r="AM87" s="38">
        <f t="shared" si="20"/>
        <v>0</v>
      </c>
      <c r="AN87" s="34">
        <f t="shared" si="23"/>
        <v>0</v>
      </c>
      <c r="AO87" s="34"/>
      <c r="AP87" s="34"/>
    </row>
    <row r="88" spans="14:42">
      <c r="N88" s="34"/>
      <c r="O88" s="34"/>
      <c r="P88" s="34"/>
      <c r="Q88" s="34"/>
      <c r="R88" s="34"/>
      <c r="S88" s="34"/>
      <c r="T88" s="34"/>
      <c r="U88" s="34"/>
      <c r="V88" s="34"/>
      <c r="W88" s="34"/>
      <c r="X88" s="34"/>
      <c r="Y88" s="34"/>
      <c r="Z88" s="34"/>
      <c r="AA88" s="34"/>
      <c r="AB88" s="34"/>
      <c r="AC88" s="34"/>
      <c r="AD88" s="34"/>
      <c r="AE88" s="34"/>
      <c r="AF88" s="34"/>
      <c r="AG88" s="34"/>
      <c r="AH88" s="34"/>
      <c r="AI88" s="34"/>
      <c r="AJ88" s="34">
        <f t="shared" si="17"/>
        <v>0</v>
      </c>
      <c r="AK88" s="34">
        <f t="shared" si="18"/>
        <v>0</v>
      </c>
      <c r="AL88" s="34" t="str">
        <f t="shared" si="19"/>
        <v/>
      </c>
      <c r="AM88" s="38">
        <f t="shared" si="20"/>
        <v>0</v>
      </c>
      <c r="AN88" s="34">
        <f t="shared" si="23"/>
        <v>0</v>
      </c>
      <c r="AO88" s="34"/>
      <c r="AP88" s="34"/>
    </row>
    <row r="89" spans="14:42">
      <c r="N89" s="34"/>
      <c r="O89" s="34"/>
      <c r="P89" s="34"/>
      <c r="Q89" s="34"/>
      <c r="R89" s="34"/>
      <c r="S89" s="34"/>
      <c r="T89" s="34"/>
      <c r="U89" s="34"/>
      <c r="V89" s="34"/>
      <c r="W89" s="34"/>
      <c r="X89" s="34"/>
      <c r="Y89" s="34"/>
      <c r="Z89" s="34"/>
      <c r="AA89" s="34"/>
      <c r="AB89" s="34"/>
      <c r="AC89" s="34"/>
      <c r="AD89" s="34"/>
      <c r="AE89" s="34"/>
      <c r="AF89" s="34"/>
      <c r="AG89" s="34"/>
      <c r="AH89" s="34"/>
      <c r="AI89" s="34"/>
      <c r="AJ89" s="34">
        <f t="shared" si="17"/>
        <v>0</v>
      </c>
      <c r="AK89" s="34">
        <f t="shared" si="18"/>
        <v>0</v>
      </c>
      <c r="AL89" s="34" t="str">
        <f t="shared" si="19"/>
        <v/>
      </c>
      <c r="AM89" s="38">
        <f t="shared" si="20"/>
        <v>0</v>
      </c>
      <c r="AN89" s="34">
        <f t="shared" si="23"/>
        <v>0</v>
      </c>
      <c r="AO89" s="34"/>
      <c r="AP89" s="34"/>
    </row>
    <row r="90" spans="14:42">
      <c r="N90" s="34"/>
      <c r="O90" s="34"/>
      <c r="P90" s="34"/>
      <c r="Q90" s="34"/>
      <c r="R90" s="34"/>
      <c r="S90" s="34"/>
      <c r="T90" s="34"/>
      <c r="U90" s="34"/>
      <c r="V90" s="34"/>
      <c r="W90" s="34"/>
      <c r="X90" s="34"/>
      <c r="Y90" s="34"/>
      <c r="Z90" s="34"/>
      <c r="AA90" s="34"/>
      <c r="AB90" s="34"/>
      <c r="AC90" s="34"/>
      <c r="AD90" s="34"/>
      <c r="AE90" s="34"/>
      <c r="AF90" s="34"/>
      <c r="AG90" s="34"/>
      <c r="AH90" s="34"/>
      <c r="AI90" s="34"/>
      <c r="AJ90" s="34">
        <f t="shared" si="17"/>
        <v>0</v>
      </c>
      <c r="AK90" s="34">
        <f t="shared" si="18"/>
        <v>0</v>
      </c>
      <c r="AL90" s="34" t="str">
        <f t="shared" si="19"/>
        <v/>
      </c>
      <c r="AM90" s="38">
        <f t="shared" si="20"/>
        <v>0</v>
      </c>
      <c r="AN90" s="34">
        <f t="shared" si="23"/>
        <v>0</v>
      </c>
      <c r="AO90" s="34"/>
      <c r="AP90" s="34"/>
    </row>
    <row r="91" spans="14:42">
      <c r="N91" s="34"/>
      <c r="O91" s="34"/>
      <c r="P91" s="34"/>
      <c r="Q91" s="34"/>
      <c r="R91" s="34"/>
      <c r="S91" s="34"/>
      <c r="T91" s="34"/>
      <c r="U91" s="34"/>
      <c r="V91" s="34"/>
      <c r="W91" s="34"/>
      <c r="X91" s="34"/>
      <c r="Y91" s="34"/>
      <c r="Z91" s="34"/>
      <c r="AA91" s="34"/>
      <c r="AB91" s="34"/>
      <c r="AC91" s="34"/>
      <c r="AD91" s="34"/>
      <c r="AE91" s="34"/>
      <c r="AF91" s="34"/>
      <c r="AG91" s="34"/>
      <c r="AH91" s="34"/>
      <c r="AI91" s="34"/>
      <c r="AJ91" s="34">
        <f t="shared" si="17"/>
        <v>0</v>
      </c>
      <c r="AK91" s="34">
        <f t="shared" si="18"/>
        <v>0</v>
      </c>
      <c r="AL91" s="34" t="str">
        <f t="shared" si="19"/>
        <v/>
      </c>
      <c r="AM91" s="38">
        <f t="shared" si="20"/>
        <v>0</v>
      </c>
      <c r="AN91" s="34">
        <f t="shared" si="23"/>
        <v>0</v>
      </c>
      <c r="AO91" s="34"/>
      <c r="AP91" s="34"/>
    </row>
    <row r="92" spans="14:42">
      <c r="N92" s="34"/>
      <c r="O92" s="34"/>
      <c r="P92" s="34"/>
      <c r="Q92" s="34"/>
      <c r="R92" s="34"/>
      <c r="S92" s="34"/>
      <c r="T92" s="34"/>
      <c r="U92" s="34"/>
      <c r="V92" s="34"/>
      <c r="W92" s="34"/>
      <c r="X92" s="34"/>
      <c r="Y92" s="34"/>
      <c r="Z92" s="34"/>
      <c r="AA92" s="34"/>
      <c r="AB92" s="34"/>
      <c r="AC92" s="34"/>
      <c r="AD92" s="34"/>
      <c r="AE92" s="34"/>
      <c r="AF92" s="34"/>
      <c r="AG92" s="34"/>
      <c r="AH92" s="34"/>
      <c r="AI92" s="34"/>
      <c r="AJ92" s="34">
        <f t="shared" si="17"/>
        <v>0</v>
      </c>
      <c r="AK92" s="34">
        <f t="shared" si="18"/>
        <v>0</v>
      </c>
      <c r="AL92" s="34" t="str">
        <f t="shared" si="19"/>
        <v/>
      </c>
      <c r="AM92" s="38">
        <f t="shared" si="20"/>
        <v>0</v>
      </c>
      <c r="AN92" s="34">
        <f t="shared" si="23"/>
        <v>0</v>
      </c>
      <c r="AO92" s="34"/>
      <c r="AP92" s="34"/>
    </row>
    <row r="93" spans="14:42">
      <c r="N93" s="34"/>
      <c r="O93" s="34"/>
      <c r="P93" s="34"/>
      <c r="Q93" s="34"/>
      <c r="R93" s="34"/>
      <c r="S93" s="34"/>
      <c r="T93" s="34"/>
      <c r="U93" s="34"/>
      <c r="V93" s="34"/>
      <c r="W93" s="34"/>
      <c r="X93" s="34"/>
      <c r="Y93" s="34"/>
      <c r="Z93" s="34"/>
      <c r="AA93" s="34"/>
      <c r="AB93" s="34"/>
      <c r="AC93" s="34"/>
      <c r="AD93" s="34"/>
      <c r="AE93" s="34"/>
      <c r="AF93" s="34"/>
      <c r="AG93" s="34"/>
      <c r="AH93" s="34"/>
      <c r="AI93" s="34"/>
      <c r="AJ93" s="34">
        <f t="shared" ref="AJ93:AJ150" si="24">A100</f>
        <v>0</v>
      </c>
      <c r="AK93" s="34">
        <f t="shared" ref="AK93:AK150" si="25">A100</f>
        <v>0</v>
      </c>
      <c r="AL93" s="34" t="str">
        <f t="shared" ref="AL93:AL150" si="26">IF(F100=$C$8,$C100,IF(F100=$D$8,$D100,IF(F100=$E$8,$E100,"")))</f>
        <v/>
      </c>
      <c r="AM93" s="38">
        <f t="shared" ref="AM93:AM150" si="27">F100</f>
        <v>0</v>
      </c>
      <c r="AN93" s="34">
        <f t="shared" si="23"/>
        <v>0</v>
      </c>
      <c r="AO93" s="34"/>
      <c r="AP93" s="34"/>
    </row>
    <row r="94" spans="14:42">
      <c r="N94" s="34"/>
      <c r="O94" s="34"/>
      <c r="P94" s="34"/>
      <c r="Q94" s="34"/>
      <c r="R94" s="34"/>
      <c r="S94" s="34"/>
      <c r="T94" s="34"/>
      <c r="U94" s="34"/>
      <c r="V94" s="34"/>
      <c r="W94" s="34"/>
      <c r="X94" s="34"/>
      <c r="Y94" s="34"/>
      <c r="Z94" s="34"/>
      <c r="AA94" s="34"/>
      <c r="AB94" s="34"/>
      <c r="AC94" s="34"/>
      <c r="AD94" s="34"/>
      <c r="AE94" s="34"/>
      <c r="AF94" s="34"/>
      <c r="AG94" s="34"/>
      <c r="AH94" s="34"/>
      <c r="AI94" s="34"/>
      <c r="AJ94" s="34">
        <f t="shared" si="24"/>
        <v>0</v>
      </c>
      <c r="AK94" s="34">
        <f t="shared" si="25"/>
        <v>0</v>
      </c>
      <c r="AL94" s="34" t="str">
        <f t="shared" si="26"/>
        <v/>
      </c>
      <c r="AM94" s="38">
        <f t="shared" si="27"/>
        <v>0</v>
      </c>
      <c r="AN94" s="34">
        <f t="shared" si="23"/>
        <v>0</v>
      </c>
      <c r="AO94" s="34"/>
      <c r="AP94" s="34"/>
    </row>
    <row r="95" spans="14:42">
      <c r="N95" s="34"/>
      <c r="O95" s="34"/>
      <c r="P95" s="34"/>
      <c r="Q95" s="34"/>
      <c r="R95" s="34"/>
      <c r="S95" s="34"/>
      <c r="T95" s="34"/>
      <c r="U95" s="34"/>
      <c r="V95" s="34"/>
      <c r="W95" s="34"/>
      <c r="X95" s="34"/>
      <c r="Y95" s="34"/>
      <c r="Z95" s="34"/>
      <c r="AA95" s="34"/>
      <c r="AB95" s="34"/>
      <c r="AC95" s="34"/>
      <c r="AD95" s="34"/>
      <c r="AE95" s="34"/>
      <c r="AF95" s="34"/>
      <c r="AG95" s="34"/>
      <c r="AH95" s="34"/>
      <c r="AI95" s="34"/>
      <c r="AJ95" s="34">
        <f t="shared" si="24"/>
        <v>0</v>
      </c>
      <c r="AK95" s="34">
        <f t="shared" si="25"/>
        <v>0</v>
      </c>
      <c r="AL95" s="34" t="str">
        <f t="shared" si="26"/>
        <v/>
      </c>
      <c r="AM95" s="38">
        <f t="shared" si="27"/>
        <v>0</v>
      </c>
      <c r="AN95" s="34">
        <f t="shared" si="23"/>
        <v>0</v>
      </c>
      <c r="AO95" s="34"/>
      <c r="AP95" s="34"/>
    </row>
    <row r="96" spans="14:42">
      <c r="N96" s="34"/>
      <c r="O96" s="34"/>
      <c r="P96" s="34"/>
      <c r="Q96" s="34"/>
      <c r="R96" s="34"/>
      <c r="S96" s="34"/>
      <c r="T96" s="34"/>
      <c r="U96" s="34"/>
      <c r="V96" s="34"/>
      <c r="W96" s="34"/>
      <c r="X96" s="34"/>
      <c r="Y96" s="34"/>
      <c r="Z96" s="34"/>
      <c r="AA96" s="34"/>
      <c r="AB96" s="34"/>
      <c r="AC96" s="34"/>
      <c r="AD96" s="34"/>
      <c r="AE96" s="34"/>
      <c r="AF96" s="34"/>
      <c r="AG96" s="34"/>
      <c r="AH96" s="34"/>
      <c r="AI96" s="34"/>
      <c r="AJ96" s="34">
        <f t="shared" si="24"/>
        <v>0</v>
      </c>
      <c r="AK96" s="34">
        <f t="shared" si="25"/>
        <v>0</v>
      </c>
      <c r="AL96" s="34" t="str">
        <f t="shared" si="26"/>
        <v/>
      </c>
      <c r="AM96" s="38">
        <f t="shared" si="27"/>
        <v>0</v>
      </c>
      <c r="AN96" s="34">
        <f t="shared" si="23"/>
        <v>0</v>
      </c>
      <c r="AO96" s="34"/>
      <c r="AP96" s="34"/>
    </row>
    <row r="97" spans="14:42">
      <c r="N97" s="34"/>
      <c r="O97" s="34"/>
      <c r="P97" s="34"/>
      <c r="Q97" s="34"/>
      <c r="R97" s="34"/>
      <c r="S97" s="34"/>
      <c r="T97" s="34"/>
      <c r="U97" s="34"/>
      <c r="V97" s="34"/>
      <c r="W97" s="34"/>
      <c r="X97" s="34"/>
      <c r="Y97" s="34"/>
      <c r="Z97" s="34"/>
      <c r="AA97" s="34"/>
      <c r="AB97" s="34"/>
      <c r="AC97" s="34"/>
      <c r="AD97" s="34"/>
      <c r="AE97" s="34"/>
      <c r="AF97" s="34"/>
      <c r="AG97" s="34"/>
      <c r="AH97" s="34"/>
      <c r="AI97" s="34"/>
      <c r="AJ97" s="34">
        <f t="shared" si="24"/>
        <v>0</v>
      </c>
      <c r="AK97" s="34">
        <f t="shared" si="25"/>
        <v>0</v>
      </c>
      <c r="AL97" s="34" t="str">
        <f t="shared" si="26"/>
        <v/>
      </c>
      <c r="AM97" s="38">
        <f t="shared" si="27"/>
        <v>0</v>
      </c>
      <c r="AN97" s="34">
        <f t="shared" si="23"/>
        <v>0</v>
      </c>
      <c r="AO97" s="34"/>
      <c r="AP97" s="34"/>
    </row>
    <row r="98" spans="14:42">
      <c r="N98" s="34"/>
      <c r="O98" s="34"/>
      <c r="P98" s="34"/>
      <c r="Q98" s="34"/>
      <c r="R98" s="34"/>
      <c r="S98" s="34"/>
      <c r="T98" s="34"/>
      <c r="U98" s="34"/>
      <c r="V98" s="34"/>
      <c r="W98" s="34"/>
      <c r="X98" s="34"/>
      <c r="Y98" s="34"/>
      <c r="Z98" s="34"/>
      <c r="AA98" s="34"/>
      <c r="AB98" s="34"/>
      <c r="AC98" s="34"/>
      <c r="AD98" s="34"/>
      <c r="AE98" s="34"/>
      <c r="AF98" s="34"/>
      <c r="AG98" s="34"/>
      <c r="AH98" s="34"/>
      <c r="AI98" s="34"/>
      <c r="AJ98" s="34">
        <f t="shared" si="24"/>
        <v>0</v>
      </c>
      <c r="AK98" s="34">
        <f t="shared" si="25"/>
        <v>0</v>
      </c>
      <c r="AL98" s="34" t="str">
        <f t="shared" si="26"/>
        <v/>
      </c>
      <c r="AM98" s="38">
        <f t="shared" si="27"/>
        <v>0</v>
      </c>
      <c r="AN98" s="34">
        <f t="shared" si="23"/>
        <v>0</v>
      </c>
      <c r="AO98" s="34"/>
      <c r="AP98" s="34"/>
    </row>
    <row r="99" spans="14:42">
      <c r="N99" s="34"/>
      <c r="O99" s="34"/>
      <c r="P99" s="34"/>
      <c r="Q99" s="34"/>
      <c r="R99" s="34"/>
      <c r="S99" s="34"/>
      <c r="T99" s="34"/>
      <c r="U99" s="34"/>
      <c r="V99" s="34"/>
      <c r="W99" s="34"/>
      <c r="X99" s="34"/>
      <c r="Y99" s="34"/>
      <c r="Z99" s="34"/>
      <c r="AA99" s="34"/>
      <c r="AB99" s="34"/>
      <c r="AC99" s="34"/>
      <c r="AD99" s="34"/>
      <c r="AE99" s="34"/>
      <c r="AF99" s="34"/>
      <c r="AG99" s="34"/>
      <c r="AH99" s="34"/>
      <c r="AI99" s="34"/>
      <c r="AJ99" s="34">
        <f t="shared" si="24"/>
        <v>0</v>
      </c>
      <c r="AK99" s="34">
        <f t="shared" si="25"/>
        <v>0</v>
      </c>
      <c r="AL99" s="34" t="str">
        <f t="shared" si="26"/>
        <v/>
      </c>
      <c r="AM99" s="38">
        <f t="shared" si="27"/>
        <v>0</v>
      </c>
      <c r="AN99" s="34">
        <f t="shared" si="23"/>
        <v>0</v>
      </c>
      <c r="AO99" s="34"/>
      <c r="AP99" s="34"/>
    </row>
    <row r="100" spans="14:42">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f t="shared" si="24"/>
        <v>0</v>
      </c>
      <c r="AK100" s="34">
        <f t="shared" si="25"/>
        <v>0</v>
      </c>
      <c r="AL100" s="34" t="str">
        <f t="shared" si="26"/>
        <v/>
      </c>
      <c r="AM100" s="38">
        <f t="shared" si="27"/>
        <v>0</v>
      </c>
      <c r="AN100" s="34">
        <f t="shared" si="23"/>
        <v>0</v>
      </c>
      <c r="AO100" s="34"/>
      <c r="AP100" s="34"/>
    </row>
    <row r="101" spans="14:42">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f t="shared" si="24"/>
        <v>0</v>
      </c>
      <c r="AK101" s="34">
        <f t="shared" si="25"/>
        <v>0</v>
      </c>
      <c r="AL101" s="34" t="str">
        <f t="shared" si="26"/>
        <v/>
      </c>
      <c r="AM101" s="38">
        <f t="shared" si="27"/>
        <v>0</v>
      </c>
      <c r="AN101" s="34">
        <f t="shared" si="23"/>
        <v>0</v>
      </c>
      <c r="AO101" s="34"/>
      <c r="AP101" s="34"/>
    </row>
    <row r="102" spans="14:42">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f t="shared" si="24"/>
        <v>0</v>
      </c>
      <c r="AK102" s="34">
        <f t="shared" si="25"/>
        <v>0</v>
      </c>
      <c r="AL102" s="34" t="str">
        <f t="shared" si="26"/>
        <v/>
      </c>
      <c r="AM102" s="38">
        <f t="shared" si="27"/>
        <v>0</v>
      </c>
      <c r="AN102" s="34">
        <f t="shared" si="23"/>
        <v>0</v>
      </c>
      <c r="AO102" s="34"/>
      <c r="AP102" s="34"/>
    </row>
    <row r="103" spans="14:42">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f t="shared" si="24"/>
        <v>0</v>
      </c>
      <c r="AK103" s="34">
        <f t="shared" si="25"/>
        <v>0</v>
      </c>
      <c r="AL103" s="34" t="str">
        <f t="shared" si="26"/>
        <v/>
      </c>
      <c r="AM103" s="38">
        <f t="shared" si="27"/>
        <v>0</v>
      </c>
      <c r="AN103" s="34">
        <f t="shared" si="23"/>
        <v>0</v>
      </c>
      <c r="AO103" s="34"/>
      <c r="AP103" s="34"/>
    </row>
    <row r="104" spans="14:42">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f t="shared" si="24"/>
        <v>0</v>
      </c>
      <c r="AK104" s="34">
        <f t="shared" si="25"/>
        <v>0</v>
      </c>
      <c r="AL104" s="34" t="str">
        <f t="shared" si="26"/>
        <v/>
      </c>
      <c r="AM104" s="38">
        <f t="shared" si="27"/>
        <v>0</v>
      </c>
      <c r="AN104" s="34">
        <f t="shared" si="23"/>
        <v>0</v>
      </c>
      <c r="AO104" s="34"/>
      <c r="AP104" s="34"/>
    </row>
    <row r="105" spans="14:42">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f t="shared" si="24"/>
        <v>0</v>
      </c>
      <c r="AK105" s="34">
        <f t="shared" si="25"/>
        <v>0</v>
      </c>
      <c r="AL105" s="34" t="str">
        <f t="shared" si="26"/>
        <v/>
      </c>
      <c r="AM105" s="38">
        <f t="shared" si="27"/>
        <v>0</v>
      </c>
      <c r="AN105" s="34">
        <f t="shared" si="23"/>
        <v>0</v>
      </c>
      <c r="AO105" s="34"/>
      <c r="AP105" s="34"/>
    </row>
    <row r="106" spans="14:42">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f t="shared" si="24"/>
        <v>0</v>
      </c>
      <c r="AK106" s="34">
        <f t="shared" si="25"/>
        <v>0</v>
      </c>
      <c r="AL106" s="34" t="str">
        <f t="shared" si="26"/>
        <v/>
      </c>
      <c r="AM106" s="38">
        <f t="shared" si="27"/>
        <v>0</v>
      </c>
      <c r="AN106" s="34">
        <f t="shared" si="23"/>
        <v>0</v>
      </c>
      <c r="AO106" s="34"/>
      <c r="AP106" s="34"/>
    </row>
    <row r="107" spans="14:42">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f t="shared" si="24"/>
        <v>0</v>
      </c>
      <c r="AK107" s="34">
        <f t="shared" si="25"/>
        <v>0</v>
      </c>
      <c r="AL107" s="34" t="str">
        <f t="shared" si="26"/>
        <v/>
      </c>
      <c r="AM107" s="38">
        <f t="shared" si="27"/>
        <v>0</v>
      </c>
      <c r="AN107" s="34">
        <f t="shared" si="23"/>
        <v>0</v>
      </c>
      <c r="AO107" s="34"/>
      <c r="AP107" s="34"/>
    </row>
    <row r="108" spans="14:42">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f t="shared" si="24"/>
        <v>0</v>
      </c>
      <c r="AK108" s="34">
        <f t="shared" si="25"/>
        <v>0</v>
      </c>
      <c r="AL108" s="34" t="str">
        <f t="shared" si="26"/>
        <v/>
      </c>
      <c r="AM108" s="38">
        <f t="shared" si="27"/>
        <v>0</v>
      </c>
      <c r="AN108" s="34">
        <f t="shared" si="23"/>
        <v>0</v>
      </c>
      <c r="AO108" s="34"/>
      <c r="AP108" s="34"/>
    </row>
    <row r="109" spans="14:42">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f t="shared" si="24"/>
        <v>0</v>
      </c>
      <c r="AK109" s="34">
        <f t="shared" si="25"/>
        <v>0</v>
      </c>
      <c r="AL109" s="34" t="str">
        <f t="shared" si="26"/>
        <v/>
      </c>
      <c r="AM109" s="38">
        <f t="shared" si="27"/>
        <v>0</v>
      </c>
      <c r="AN109" s="34">
        <f t="shared" si="23"/>
        <v>0</v>
      </c>
      <c r="AO109" s="34"/>
      <c r="AP109" s="34"/>
    </row>
    <row r="110" spans="14:42">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f t="shared" si="24"/>
        <v>0</v>
      </c>
      <c r="AK110" s="34">
        <f t="shared" si="25"/>
        <v>0</v>
      </c>
      <c r="AL110" s="34" t="str">
        <f t="shared" si="26"/>
        <v/>
      </c>
      <c r="AM110" s="38">
        <f t="shared" si="27"/>
        <v>0</v>
      </c>
      <c r="AN110" s="34">
        <f t="shared" si="23"/>
        <v>0</v>
      </c>
      <c r="AO110" s="34"/>
      <c r="AP110" s="34"/>
    </row>
    <row r="111" spans="14:42">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f t="shared" si="24"/>
        <v>0</v>
      </c>
      <c r="AK111" s="34">
        <f t="shared" si="25"/>
        <v>0</v>
      </c>
      <c r="AL111" s="34" t="str">
        <f t="shared" si="26"/>
        <v/>
      </c>
      <c r="AM111" s="38">
        <f t="shared" si="27"/>
        <v>0</v>
      </c>
      <c r="AN111" s="34">
        <f t="shared" si="23"/>
        <v>0</v>
      </c>
      <c r="AO111" s="34"/>
      <c r="AP111" s="34"/>
    </row>
    <row r="112" spans="14:42">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f t="shared" si="24"/>
        <v>0</v>
      </c>
      <c r="AK112" s="34">
        <f t="shared" si="25"/>
        <v>0</v>
      </c>
      <c r="AL112" s="34" t="str">
        <f t="shared" si="26"/>
        <v/>
      </c>
      <c r="AM112" s="38">
        <f t="shared" si="27"/>
        <v>0</v>
      </c>
      <c r="AN112" s="34">
        <f t="shared" si="23"/>
        <v>0</v>
      </c>
      <c r="AO112" s="34"/>
      <c r="AP112" s="34"/>
    </row>
    <row r="113" spans="14:42">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f t="shared" si="24"/>
        <v>0</v>
      </c>
      <c r="AK113" s="34">
        <f t="shared" si="25"/>
        <v>0</v>
      </c>
      <c r="AL113" s="34" t="str">
        <f t="shared" si="26"/>
        <v/>
      </c>
      <c r="AM113" s="38">
        <f t="shared" si="27"/>
        <v>0</v>
      </c>
      <c r="AN113" s="34">
        <f t="shared" si="23"/>
        <v>0</v>
      </c>
      <c r="AO113" s="34"/>
      <c r="AP113" s="34"/>
    </row>
    <row r="114" spans="14:42">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f t="shared" si="24"/>
        <v>0</v>
      </c>
      <c r="AK114" s="34">
        <f t="shared" si="25"/>
        <v>0</v>
      </c>
      <c r="AL114" s="34" t="str">
        <f t="shared" si="26"/>
        <v/>
      </c>
      <c r="AM114" s="38">
        <f t="shared" si="27"/>
        <v>0</v>
      </c>
      <c r="AN114" s="34">
        <f t="shared" si="23"/>
        <v>0</v>
      </c>
      <c r="AO114" s="34"/>
      <c r="AP114" s="34"/>
    </row>
    <row r="115" spans="14:42">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f t="shared" si="24"/>
        <v>0</v>
      </c>
      <c r="AK115" s="34">
        <f t="shared" si="25"/>
        <v>0</v>
      </c>
      <c r="AL115" s="34" t="str">
        <f t="shared" si="26"/>
        <v/>
      </c>
      <c r="AM115" s="38">
        <f t="shared" si="27"/>
        <v>0</v>
      </c>
      <c r="AN115" s="34">
        <f t="shared" si="23"/>
        <v>0</v>
      </c>
      <c r="AO115" s="34"/>
      <c r="AP115" s="34"/>
    </row>
    <row r="116" spans="14:42">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f t="shared" si="24"/>
        <v>0</v>
      </c>
      <c r="AK116" s="34">
        <f t="shared" si="25"/>
        <v>0</v>
      </c>
      <c r="AL116" s="34" t="str">
        <f t="shared" si="26"/>
        <v/>
      </c>
      <c r="AM116" s="38">
        <f t="shared" si="27"/>
        <v>0</v>
      </c>
      <c r="AN116" s="34">
        <f t="shared" si="23"/>
        <v>0</v>
      </c>
      <c r="AO116" s="34"/>
      <c r="AP116" s="34"/>
    </row>
    <row r="117" spans="14:42">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f t="shared" si="24"/>
        <v>0</v>
      </c>
      <c r="AK117" s="34">
        <f t="shared" si="25"/>
        <v>0</v>
      </c>
      <c r="AL117" s="34" t="str">
        <f t="shared" si="26"/>
        <v/>
      </c>
      <c r="AM117" s="38">
        <f t="shared" si="27"/>
        <v>0</v>
      </c>
      <c r="AN117" s="34">
        <f t="shared" si="23"/>
        <v>0</v>
      </c>
      <c r="AO117" s="34"/>
      <c r="AP117" s="34"/>
    </row>
    <row r="118" spans="14:42">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f t="shared" si="24"/>
        <v>0</v>
      </c>
      <c r="AK118" s="34">
        <f t="shared" si="25"/>
        <v>0</v>
      </c>
      <c r="AL118" s="34" t="str">
        <f t="shared" si="26"/>
        <v/>
      </c>
      <c r="AM118" s="38">
        <f t="shared" si="27"/>
        <v>0</v>
      </c>
      <c r="AN118" s="34">
        <f t="shared" si="23"/>
        <v>0</v>
      </c>
      <c r="AO118" s="34"/>
      <c r="AP118" s="34"/>
    </row>
    <row r="119" spans="14:42">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f t="shared" si="24"/>
        <v>0</v>
      </c>
      <c r="AK119" s="34">
        <f t="shared" si="25"/>
        <v>0</v>
      </c>
      <c r="AL119" s="34" t="str">
        <f t="shared" si="26"/>
        <v/>
      </c>
      <c r="AM119" s="38">
        <f t="shared" si="27"/>
        <v>0</v>
      </c>
      <c r="AN119" s="34">
        <f t="shared" si="23"/>
        <v>0</v>
      </c>
      <c r="AO119" s="34"/>
      <c r="AP119" s="34"/>
    </row>
    <row r="120" spans="14:42">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f t="shared" si="24"/>
        <v>0</v>
      </c>
      <c r="AK120" s="34">
        <f t="shared" si="25"/>
        <v>0</v>
      </c>
      <c r="AL120" s="34" t="str">
        <f t="shared" si="26"/>
        <v/>
      </c>
      <c r="AM120" s="38">
        <f t="shared" si="27"/>
        <v>0</v>
      </c>
      <c r="AN120" s="34">
        <f t="shared" si="23"/>
        <v>0</v>
      </c>
      <c r="AO120" s="34"/>
      <c r="AP120" s="34"/>
    </row>
    <row r="121" spans="14:42">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f t="shared" si="24"/>
        <v>0</v>
      </c>
      <c r="AK121" s="34">
        <f t="shared" si="25"/>
        <v>0</v>
      </c>
      <c r="AL121" s="34" t="str">
        <f t="shared" si="26"/>
        <v/>
      </c>
      <c r="AM121" s="38">
        <f t="shared" si="27"/>
        <v>0</v>
      </c>
      <c r="AN121" s="34">
        <f t="shared" si="23"/>
        <v>0</v>
      </c>
      <c r="AO121" s="34"/>
      <c r="AP121" s="34"/>
    </row>
    <row r="122" spans="14:42">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f t="shared" si="24"/>
        <v>0</v>
      </c>
      <c r="AK122" s="34">
        <f t="shared" si="25"/>
        <v>0</v>
      </c>
      <c r="AL122" s="34" t="str">
        <f t="shared" si="26"/>
        <v/>
      </c>
      <c r="AM122" s="38">
        <f t="shared" si="27"/>
        <v>0</v>
      </c>
      <c r="AN122" s="34">
        <f t="shared" si="23"/>
        <v>0</v>
      </c>
      <c r="AO122" s="34"/>
      <c r="AP122" s="34"/>
    </row>
    <row r="123" spans="14:42">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f t="shared" si="24"/>
        <v>0</v>
      </c>
      <c r="AK123" s="34">
        <f t="shared" si="25"/>
        <v>0</v>
      </c>
      <c r="AL123" s="34" t="str">
        <f t="shared" si="26"/>
        <v/>
      </c>
      <c r="AM123" s="38">
        <f t="shared" si="27"/>
        <v>0</v>
      </c>
      <c r="AN123" s="34">
        <f t="shared" si="23"/>
        <v>0</v>
      </c>
      <c r="AO123" s="34"/>
      <c r="AP123" s="34"/>
    </row>
    <row r="124" spans="14:42">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f t="shared" si="24"/>
        <v>0</v>
      </c>
      <c r="AK124" s="34">
        <f t="shared" si="25"/>
        <v>0</v>
      </c>
      <c r="AL124" s="34" t="str">
        <f t="shared" si="26"/>
        <v/>
      </c>
      <c r="AM124" s="38">
        <f t="shared" si="27"/>
        <v>0</v>
      </c>
      <c r="AN124" s="34">
        <f t="shared" si="23"/>
        <v>0</v>
      </c>
      <c r="AO124" s="34"/>
      <c r="AP124" s="34"/>
    </row>
    <row r="125" spans="14:42">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f t="shared" si="24"/>
        <v>0</v>
      </c>
      <c r="AK125" s="34">
        <f t="shared" si="25"/>
        <v>0</v>
      </c>
      <c r="AL125" s="34" t="str">
        <f t="shared" si="26"/>
        <v/>
      </c>
      <c r="AM125" s="38">
        <f t="shared" si="27"/>
        <v>0</v>
      </c>
      <c r="AN125" s="34">
        <f t="shared" si="23"/>
        <v>0</v>
      </c>
      <c r="AO125" s="34"/>
      <c r="AP125" s="34"/>
    </row>
    <row r="126" spans="14:42">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f t="shared" si="24"/>
        <v>0</v>
      </c>
      <c r="AK126" s="34">
        <f t="shared" si="25"/>
        <v>0</v>
      </c>
      <c r="AL126" s="34" t="str">
        <f t="shared" si="26"/>
        <v/>
      </c>
      <c r="AM126" s="38">
        <f t="shared" si="27"/>
        <v>0</v>
      </c>
      <c r="AN126" s="34">
        <f t="shared" si="23"/>
        <v>0</v>
      </c>
      <c r="AO126" s="34"/>
      <c r="AP126" s="34"/>
    </row>
    <row r="127" spans="14:42">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f t="shared" si="24"/>
        <v>0</v>
      </c>
      <c r="AK127" s="34">
        <f t="shared" si="25"/>
        <v>0</v>
      </c>
      <c r="AL127" s="34" t="str">
        <f t="shared" si="26"/>
        <v/>
      </c>
      <c r="AM127" s="38">
        <f t="shared" si="27"/>
        <v>0</v>
      </c>
      <c r="AN127" s="34">
        <f t="shared" si="23"/>
        <v>0</v>
      </c>
      <c r="AO127" s="34"/>
      <c r="AP127" s="34"/>
    </row>
    <row r="128" spans="14:42">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f t="shared" si="24"/>
        <v>0</v>
      </c>
      <c r="AK128" s="34">
        <f t="shared" si="25"/>
        <v>0</v>
      </c>
      <c r="AL128" s="34" t="str">
        <f t="shared" si="26"/>
        <v/>
      </c>
      <c r="AM128" s="38">
        <f t="shared" si="27"/>
        <v>0</v>
      </c>
      <c r="AN128" s="34">
        <f t="shared" si="23"/>
        <v>0</v>
      </c>
      <c r="AO128" s="34"/>
      <c r="AP128" s="34"/>
    </row>
    <row r="129" spans="14:42">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f t="shared" si="24"/>
        <v>0</v>
      </c>
      <c r="AK129" s="34">
        <f t="shared" si="25"/>
        <v>0</v>
      </c>
      <c r="AL129" s="34" t="str">
        <f t="shared" si="26"/>
        <v/>
      </c>
      <c r="AM129" s="38">
        <f t="shared" si="27"/>
        <v>0</v>
      </c>
      <c r="AN129" s="34">
        <f t="shared" si="23"/>
        <v>0</v>
      </c>
      <c r="AO129" s="34"/>
      <c r="AP129" s="34"/>
    </row>
    <row r="130" spans="14:42">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f t="shared" si="24"/>
        <v>0</v>
      </c>
      <c r="AK130" s="34">
        <f t="shared" si="25"/>
        <v>0</v>
      </c>
      <c r="AL130" s="34" t="str">
        <f t="shared" si="26"/>
        <v/>
      </c>
      <c r="AM130" s="38">
        <f t="shared" si="27"/>
        <v>0</v>
      </c>
      <c r="AN130" s="34">
        <f t="shared" si="23"/>
        <v>0</v>
      </c>
      <c r="AO130" s="34"/>
      <c r="AP130" s="34"/>
    </row>
    <row r="131" spans="14:42">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f t="shared" si="24"/>
        <v>0</v>
      </c>
      <c r="AK131" s="34">
        <f t="shared" si="25"/>
        <v>0</v>
      </c>
      <c r="AL131" s="34" t="str">
        <f t="shared" si="26"/>
        <v/>
      </c>
      <c r="AM131" s="38">
        <f t="shared" si="27"/>
        <v>0</v>
      </c>
      <c r="AN131" s="34">
        <f t="shared" ref="AN131:AN150" si="28">L138</f>
        <v>0</v>
      </c>
      <c r="AO131" s="34"/>
      <c r="AP131" s="34"/>
    </row>
    <row r="132" spans="14:42">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f t="shared" si="24"/>
        <v>0</v>
      </c>
      <c r="AK132" s="34">
        <f t="shared" si="25"/>
        <v>0</v>
      </c>
      <c r="AL132" s="34" t="str">
        <f t="shared" si="26"/>
        <v/>
      </c>
      <c r="AM132" s="38">
        <f t="shared" si="27"/>
        <v>0</v>
      </c>
      <c r="AN132" s="34">
        <f t="shared" si="28"/>
        <v>0</v>
      </c>
      <c r="AO132" s="34"/>
      <c r="AP132" s="34"/>
    </row>
    <row r="133" spans="14:42">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f t="shared" si="24"/>
        <v>0</v>
      </c>
      <c r="AK133" s="34">
        <f t="shared" si="25"/>
        <v>0</v>
      </c>
      <c r="AL133" s="34" t="str">
        <f t="shared" si="26"/>
        <v/>
      </c>
      <c r="AM133" s="38">
        <f t="shared" si="27"/>
        <v>0</v>
      </c>
      <c r="AN133" s="34">
        <f t="shared" si="28"/>
        <v>0</v>
      </c>
      <c r="AO133" s="34"/>
      <c r="AP133" s="34"/>
    </row>
    <row r="134" spans="14:42">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f t="shared" si="24"/>
        <v>0</v>
      </c>
      <c r="AK134" s="34">
        <f t="shared" si="25"/>
        <v>0</v>
      </c>
      <c r="AL134" s="34" t="str">
        <f t="shared" si="26"/>
        <v/>
      </c>
      <c r="AM134" s="38">
        <f t="shared" si="27"/>
        <v>0</v>
      </c>
      <c r="AN134" s="34">
        <f t="shared" si="28"/>
        <v>0</v>
      </c>
      <c r="AO134" s="34"/>
      <c r="AP134" s="34"/>
    </row>
    <row r="135" spans="14:42">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f t="shared" si="24"/>
        <v>0</v>
      </c>
      <c r="AK135" s="34">
        <f t="shared" si="25"/>
        <v>0</v>
      </c>
      <c r="AL135" s="34" t="str">
        <f t="shared" si="26"/>
        <v/>
      </c>
      <c r="AM135" s="38">
        <f t="shared" si="27"/>
        <v>0</v>
      </c>
      <c r="AN135" s="34">
        <f t="shared" si="28"/>
        <v>0</v>
      </c>
      <c r="AO135" s="34"/>
      <c r="AP135" s="34"/>
    </row>
    <row r="136" spans="14:42">
      <c r="N136" s="34"/>
      <c r="O136" s="34"/>
      <c r="P136" s="34"/>
      <c r="Q136" s="34"/>
      <c r="R136" s="34"/>
      <c r="S136" s="34"/>
      <c r="T136" s="34"/>
      <c r="U136" s="34"/>
      <c r="V136" s="34"/>
      <c r="W136" s="34"/>
      <c r="X136" s="34"/>
      <c r="Y136" s="34"/>
      <c r="Z136" s="34"/>
      <c r="AA136" s="34"/>
      <c r="AB136" s="34"/>
      <c r="AC136" s="34"/>
      <c r="AD136" s="34"/>
      <c r="AE136" s="34"/>
      <c r="AF136" s="34"/>
      <c r="AG136" s="34"/>
      <c r="AH136" s="34"/>
      <c r="AI136" s="34"/>
      <c r="AJ136" s="34">
        <f t="shared" si="24"/>
        <v>0</v>
      </c>
      <c r="AK136" s="34">
        <f t="shared" si="25"/>
        <v>0</v>
      </c>
      <c r="AL136" s="34" t="str">
        <f t="shared" si="26"/>
        <v/>
      </c>
      <c r="AM136" s="38">
        <f t="shared" si="27"/>
        <v>0</v>
      </c>
      <c r="AN136" s="34">
        <f t="shared" si="28"/>
        <v>0</v>
      </c>
      <c r="AO136" s="34"/>
      <c r="AP136" s="34"/>
    </row>
    <row r="137" spans="14:42">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f t="shared" si="24"/>
        <v>0</v>
      </c>
      <c r="AK137" s="34">
        <f t="shared" si="25"/>
        <v>0</v>
      </c>
      <c r="AL137" s="34" t="str">
        <f t="shared" si="26"/>
        <v/>
      </c>
      <c r="AM137" s="38">
        <f t="shared" si="27"/>
        <v>0</v>
      </c>
      <c r="AN137" s="34">
        <f t="shared" si="28"/>
        <v>0</v>
      </c>
      <c r="AO137" s="34"/>
      <c r="AP137" s="34"/>
    </row>
    <row r="138" spans="14:42">
      <c r="N138" s="34"/>
      <c r="O138" s="34"/>
      <c r="P138" s="34"/>
      <c r="Q138" s="34"/>
      <c r="R138" s="34"/>
      <c r="S138" s="34"/>
      <c r="T138" s="34"/>
      <c r="U138" s="34"/>
      <c r="V138" s="34"/>
      <c r="W138" s="34"/>
      <c r="X138" s="34"/>
      <c r="Y138" s="34"/>
      <c r="Z138" s="34"/>
      <c r="AA138" s="34"/>
      <c r="AB138" s="34"/>
      <c r="AC138" s="34"/>
      <c r="AD138" s="34"/>
      <c r="AE138" s="34"/>
      <c r="AF138" s="34"/>
      <c r="AG138" s="34"/>
      <c r="AH138" s="34"/>
      <c r="AI138" s="34"/>
      <c r="AJ138" s="34">
        <f t="shared" si="24"/>
        <v>0</v>
      </c>
      <c r="AK138" s="34">
        <f t="shared" si="25"/>
        <v>0</v>
      </c>
      <c r="AL138" s="34" t="str">
        <f t="shared" si="26"/>
        <v/>
      </c>
      <c r="AM138" s="38">
        <f t="shared" si="27"/>
        <v>0</v>
      </c>
      <c r="AN138" s="34">
        <f t="shared" si="28"/>
        <v>0</v>
      </c>
      <c r="AO138" s="34"/>
      <c r="AP138" s="34"/>
    </row>
    <row r="139" spans="14:42">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f t="shared" si="24"/>
        <v>0</v>
      </c>
      <c r="AK139" s="34">
        <f t="shared" si="25"/>
        <v>0</v>
      </c>
      <c r="AL139" s="34" t="str">
        <f t="shared" si="26"/>
        <v/>
      </c>
      <c r="AM139" s="38">
        <f t="shared" si="27"/>
        <v>0</v>
      </c>
      <c r="AN139" s="34">
        <f t="shared" si="28"/>
        <v>0</v>
      </c>
      <c r="AO139" s="34"/>
      <c r="AP139" s="34"/>
    </row>
    <row r="140" spans="14:42">
      <c r="N140" s="34"/>
      <c r="O140" s="34"/>
      <c r="P140" s="34"/>
      <c r="Q140" s="34"/>
      <c r="R140" s="34"/>
      <c r="S140" s="34"/>
      <c r="T140" s="34"/>
      <c r="U140" s="34"/>
      <c r="V140" s="34"/>
      <c r="W140" s="34"/>
      <c r="X140" s="34"/>
      <c r="Y140" s="34"/>
      <c r="Z140" s="34"/>
      <c r="AA140" s="34"/>
      <c r="AB140" s="34"/>
      <c r="AC140" s="34"/>
      <c r="AD140" s="34"/>
      <c r="AE140" s="34"/>
      <c r="AF140" s="34"/>
      <c r="AG140" s="34"/>
      <c r="AH140" s="34"/>
      <c r="AI140" s="34"/>
      <c r="AJ140" s="34">
        <f t="shared" si="24"/>
        <v>0</v>
      </c>
      <c r="AK140" s="34">
        <f t="shared" si="25"/>
        <v>0</v>
      </c>
      <c r="AL140" s="34" t="str">
        <f t="shared" si="26"/>
        <v/>
      </c>
      <c r="AM140" s="38">
        <f t="shared" si="27"/>
        <v>0</v>
      </c>
      <c r="AN140" s="34">
        <f t="shared" si="28"/>
        <v>0</v>
      </c>
      <c r="AO140" s="34"/>
      <c r="AP140" s="34"/>
    </row>
    <row r="141" spans="14:42">
      <c r="N141" s="34"/>
      <c r="O141" s="34"/>
      <c r="P141" s="34"/>
      <c r="Q141" s="34"/>
      <c r="R141" s="34"/>
      <c r="S141" s="34"/>
      <c r="T141" s="34"/>
      <c r="U141" s="34"/>
      <c r="V141" s="34"/>
      <c r="W141" s="34"/>
      <c r="X141" s="34"/>
      <c r="Y141" s="34"/>
      <c r="Z141" s="34"/>
      <c r="AA141" s="34"/>
      <c r="AB141" s="34"/>
      <c r="AC141" s="34"/>
      <c r="AD141" s="34"/>
      <c r="AE141" s="34"/>
      <c r="AF141" s="34"/>
      <c r="AG141" s="34"/>
      <c r="AH141" s="34"/>
      <c r="AI141" s="34"/>
      <c r="AJ141" s="34">
        <f t="shared" si="24"/>
        <v>0</v>
      </c>
      <c r="AK141" s="34">
        <f t="shared" si="25"/>
        <v>0</v>
      </c>
      <c r="AL141" s="34" t="str">
        <f t="shared" si="26"/>
        <v/>
      </c>
      <c r="AM141" s="38">
        <f t="shared" si="27"/>
        <v>0</v>
      </c>
      <c r="AN141" s="34">
        <f t="shared" si="28"/>
        <v>0</v>
      </c>
      <c r="AO141" s="34"/>
      <c r="AP141" s="34"/>
    </row>
    <row r="142" spans="14:42">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f t="shared" si="24"/>
        <v>0</v>
      </c>
      <c r="AK142" s="34">
        <f t="shared" si="25"/>
        <v>0</v>
      </c>
      <c r="AL142" s="34" t="str">
        <f t="shared" si="26"/>
        <v/>
      </c>
      <c r="AM142" s="38">
        <f t="shared" si="27"/>
        <v>0</v>
      </c>
      <c r="AN142" s="34">
        <f t="shared" si="28"/>
        <v>0</v>
      </c>
      <c r="AO142" s="34"/>
      <c r="AP142" s="34"/>
    </row>
    <row r="143" spans="14:42">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f t="shared" si="24"/>
        <v>0</v>
      </c>
      <c r="AK143" s="34">
        <f t="shared" si="25"/>
        <v>0</v>
      </c>
      <c r="AL143" s="34" t="str">
        <f t="shared" si="26"/>
        <v/>
      </c>
      <c r="AM143" s="38">
        <f t="shared" si="27"/>
        <v>0</v>
      </c>
      <c r="AN143" s="34">
        <f t="shared" si="28"/>
        <v>0</v>
      </c>
      <c r="AO143" s="34"/>
      <c r="AP143" s="34"/>
    </row>
    <row r="144" spans="14:42">
      <c r="N144" s="34"/>
      <c r="O144" s="34"/>
      <c r="P144" s="34"/>
      <c r="Q144" s="34"/>
      <c r="R144" s="34"/>
      <c r="S144" s="34"/>
      <c r="T144" s="34"/>
      <c r="U144" s="34"/>
      <c r="V144" s="34"/>
      <c r="W144" s="34"/>
      <c r="X144" s="34"/>
      <c r="Y144" s="34"/>
      <c r="Z144" s="34"/>
      <c r="AA144" s="34"/>
      <c r="AB144" s="34"/>
      <c r="AC144" s="34"/>
      <c r="AD144" s="34"/>
      <c r="AE144" s="34"/>
      <c r="AF144" s="34"/>
      <c r="AG144" s="34"/>
      <c r="AH144" s="34"/>
      <c r="AI144" s="34"/>
      <c r="AJ144" s="34">
        <f t="shared" si="24"/>
        <v>0</v>
      </c>
      <c r="AK144" s="34">
        <f t="shared" si="25"/>
        <v>0</v>
      </c>
      <c r="AL144" s="34" t="str">
        <f t="shared" si="26"/>
        <v/>
      </c>
      <c r="AM144" s="38">
        <f t="shared" si="27"/>
        <v>0</v>
      </c>
      <c r="AN144" s="34">
        <f t="shared" si="28"/>
        <v>0</v>
      </c>
      <c r="AO144" s="34"/>
      <c r="AP144" s="34"/>
    </row>
    <row r="145" spans="14:42">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f t="shared" si="24"/>
        <v>0</v>
      </c>
      <c r="AK145" s="34">
        <f t="shared" si="25"/>
        <v>0</v>
      </c>
      <c r="AL145" s="34" t="str">
        <f t="shared" si="26"/>
        <v/>
      </c>
      <c r="AM145" s="38">
        <f t="shared" si="27"/>
        <v>0</v>
      </c>
      <c r="AN145" s="34">
        <f t="shared" si="28"/>
        <v>0</v>
      </c>
      <c r="AO145" s="34"/>
      <c r="AP145" s="34"/>
    </row>
    <row r="146" spans="14:42">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4">
        <f t="shared" si="24"/>
        <v>0</v>
      </c>
      <c r="AK146" s="34">
        <f t="shared" si="25"/>
        <v>0</v>
      </c>
      <c r="AL146" s="34" t="str">
        <f t="shared" si="26"/>
        <v/>
      </c>
      <c r="AM146" s="38">
        <f t="shared" si="27"/>
        <v>0</v>
      </c>
      <c r="AN146" s="34">
        <f t="shared" si="28"/>
        <v>0</v>
      </c>
      <c r="AO146" s="34"/>
      <c r="AP146" s="34"/>
    </row>
    <row r="147" spans="14:42">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f t="shared" si="24"/>
        <v>0</v>
      </c>
      <c r="AK147" s="34">
        <f t="shared" si="25"/>
        <v>0</v>
      </c>
      <c r="AL147" s="34" t="str">
        <f t="shared" si="26"/>
        <v/>
      </c>
      <c r="AM147" s="38">
        <f t="shared" si="27"/>
        <v>0</v>
      </c>
      <c r="AN147" s="34">
        <f t="shared" si="28"/>
        <v>0</v>
      </c>
      <c r="AO147" s="34"/>
      <c r="AP147" s="34"/>
    </row>
    <row r="148" spans="14:42">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f t="shared" si="24"/>
        <v>0</v>
      </c>
      <c r="AK148" s="34">
        <f t="shared" si="25"/>
        <v>0</v>
      </c>
      <c r="AL148" s="34" t="str">
        <f t="shared" si="26"/>
        <v/>
      </c>
      <c r="AM148" s="38">
        <f t="shared" si="27"/>
        <v>0</v>
      </c>
      <c r="AN148" s="34">
        <f t="shared" si="28"/>
        <v>0</v>
      </c>
      <c r="AO148" s="34"/>
      <c r="AP148" s="34"/>
    </row>
    <row r="149" spans="14:42">
      <c r="N149" s="34"/>
      <c r="O149" s="34"/>
      <c r="P149" s="34"/>
      <c r="Q149" s="34"/>
      <c r="R149" s="34"/>
      <c r="S149" s="34"/>
      <c r="T149" s="34"/>
      <c r="U149" s="34"/>
      <c r="V149" s="34"/>
      <c r="W149" s="34"/>
      <c r="X149" s="34"/>
      <c r="Y149" s="34"/>
      <c r="Z149" s="34"/>
      <c r="AA149" s="34"/>
      <c r="AB149" s="34"/>
      <c r="AC149" s="34"/>
      <c r="AD149" s="34"/>
      <c r="AE149" s="34"/>
      <c r="AF149" s="34"/>
      <c r="AG149" s="34"/>
      <c r="AH149" s="34"/>
      <c r="AI149" s="34"/>
      <c r="AJ149" s="34">
        <f t="shared" si="24"/>
        <v>0</v>
      </c>
      <c r="AK149" s="34">
        <f t="shared" si="25"/>
        <v>0</v>
      </c>
      <c r="AL149" s="34" t="str">
        <f t="shared" si="26"/>
        <v/>
      </c>
      <c r="AM149" s="38">
        <f t="shared" si="27"/>
        <v>0</v>
      </c>
      <c r="AN149" s="34">
        <f t="shared" si="28"/>
        <v>0</v>
      </c>
      <c r="AO149" s="34"/>
      <c r="AP149" s="34"/>
    </row>
    <row r="150" spans="14:42">
      <c r="N150" s="34"/>
      <c r="O150" s="34"/>
      <c r="P150" s="34"/>
      <c r="Q150" s="34"/>
      <c r="R150" s="34"/>
      <c r="S150" s="34"/>
      <c r="T150" s="34"/>
      <c r="U150" s="34"/>
      <c r="V150" s="34"/>
      <c r="W150" s="34"/>
      <c r="X150" s="34"/>
      <c r="Y150" s="34"/>
      <c r="Z150" s="34"/>
      <c r="AA150" s="34"/>
      <c r="AB150" s="34"/>
      <c r="AC150" s="34"/>
      <c r="AD150" s="34"/>
      <c r="AE150" s="34"/>
      <c r="AF150" s="34"/>
      <c r="AG150" s="34"/>
      <c r="AH150" s="34"/>
      <c r="AI150" s="34"/>
      <c r="AJ150" s="34">
        <f t="shared" si="24"/>
        <v>0</v>
      </c>
      <c r="AK150" s="34">
        <f t="shared" si="25"/>
        <v>0</v>
      </c>
      <c r="AL150" s="34" t="str">
        <f t="shared" si="26"/>
        <v/>
      </c>
      <c r="AM150" s="38">
        <f t="shared" si="27"/>
        <v>0</v>
      </c>
      <c r="AN150" s="34">
        <f t="shared" si="28"/>
        <v>0</v>
      </c>
      <c r="AO150" s="34"/>
      <c r="AP150" s="34"/>
    </row>
    <row r="151" spans="14:42">
      <c r="N151" s="82"/>
      <c r="O151" s="82"/>
      <c r="P151" s="82"/>
      <c r="Q151" s="82"/>
      <c r="R151" s="82"/>
      <c r="S151" s="82"/>
      <c r="T151" s="82"/>
      <c r="U151" s="82"/>
      <c r="V151" s="82"/>
      <c r="W151" s="82"/>
      <c r="X151" s="82"/>
      <c r="Y151" s="82"/>
      <c r="Z151" s="82"/>
      <c r="AA151" s="82"/>
      <c r="AB151" s="82"/>
      <c r="AC151" s="82"/>
      <c r="AD151" s="82"/>
      <c r="AE151" s="82"/>
      <c r="AF151" s="82"/>
      <c r="AG151" s="82"/>
      <c r="AH151" s="82"/>
      <c r="AI151" s="82"/>
      <c r="AJ151" s="82" t="e">
        <f>'[1]Bewertung Kolloquium'!A11</f>
        <v>#REF!</v>
      </c>
      <c r="AK151" s="82" t="e">
        <f>'[1]Bewertung Kolloquium'!A11</f>
        <v>#REF!</v>
      </c>
      <c r="AL151" s="82" t="e">
        <f>IF('[1]Bewertung Kolloquium'!F11='[1]Bewertung Kolloquium'!$C$9,'[1]Bewertung Kolloquium'!$C11,IF('[1]Bewertung Kolloquium'!F11='[1]Bewertung Kolloquium'!$D$9,'[1]Bewertung Kolloquium'!$D11,IF('[1]Bewertung Kolloquium'!F11='[1]Bewertung Kolloquium'!$E$9,'[1]Bewertung Kolloquium'!$E11,"")))</f>
        <v>#REF!</v>
      </c>
      <c r="AM151" s="83" t="e">
        <f>'[1]Bewertung Kolloquium'!F11</f>
        <v>#REF!</v>
      </c>
      <c r="AN151" s="83">
        <f>'[1]Bewertung Kolloquium'!L11</f>
        <v>0</v>
      </c>
      <c r="AO151" s="82"/>
      <c r="AP151" s="82" t="e">
        <f>[1]Gesamtbewertung!$C$14</f>
        <v>#REF!</v>
      </c>
    </row>
    <row r="152" spans="14:42">
      <c r="N152" s="82"/>
      <c r="O152" s="82"/>
      <c r="P152" s="82"/>
      <c r="Q152" s="82"/>
      <c r="R152" s="82"/>
      <c r="S152" s="82"/>
      <c r="T152" s="82"/>
      <c r="U152" s="82"/>
      <c r="V152" s="82"/>
      <c r="W152" s="82"/>
      <c r="X152" s="82"/>
      <c r="Y152" s="82"/>
      <c r="Z152" s="82"/>
      <c r="AA152" s="82"/>
      <c r="AB152" s="82"/>
      <c r="AC152" s="82"/>
      <c r="AD152" s="82"/>
      <c r="AE152" s="82"/>
      <c r="AF152" s="82"/>
      <c r="AG152" s="82"/>
      <c r="AH152" s="82"/>
      <c r="AI152" s="82"/>
      <c r="AJ152" s="82" t="e">
        <f>'[1]Bewertung Kolloquium'!A12</f>
        <v>#REF!</v>
      </c>
      <c r="AK152" s="82" t="e">
        <f>'[1]Bewertung Kolloquium'!A12</f>
        <v>#REF!</v>
      </c>
      <c r="AL152" s="82" t="e">
        <f>IF('[1]Bewertung Kolloquium'!F12='[1]Bewertung Kolloquium'!$C$9,'[1]Bewertung Kolloquium'!$C12,IF('[1]Bewertung Kolloquium'!F12='[1]Bewertung Kolloquium'!$D$9,'[1]Bewertung Kolloquium'!$D12,IF('[1]Bewertung Kolloquium'!F12='[1]Bewertung Kolloquium'!$E$9,'[1]Bewertung Kolloquium'!$E12,"")))</f>
        <v>#REF!</v>
      </c>
      <c r="AM152" s="83">
        <f>'[1]Bewertung Kolloquium'!F12</f>
        <v>0</v>
      </c>
      <c r="AN152" s="83" t="e">
        <f>'[1]Bewertung Kolloquium'!L12</f>
        <v>#REF!</v>
      </c>
      <c r="AO152" s="82"/>
      <c r="AP152" s="82"/>
    </row>
    <row r="153" spans="14:42">
      <c r="N153" s="82"/>
      <c r="O153" s="82"/>
      <c r="P153" s="82"/>
      <c r="Q153" s="82"/>
      <c r="R153" s="82"/>
      <c r="S153" s="82"/>
      <c r="T153" s="82"/>
      <c r="U153" s="82"/>
      <c r="V153" s="82"/>
      <c r="W153" s="82"/>
      <c r="X153" s="82"/>
      <c r="Y153" s="82"/>
      <c r="Z153" s="82"/>
      <c r="AA153" s="82"/>
      <c r="AB153" s="82"/>
      <c r="AC153" s="82"/>
      <c r="AD153" s="82"/>
      <c r="AE153" s="82"/>
      <c r="AF153" s="82"/>
      <c r="AG153" s="82"/>
      <c r="AH153" s="82"/>
      <c r="AI153" s="82"/>
      <c r="AJ153" s="82" t="e">
        <f>'[1]Bewertung Kolloquium'!A13</f>
        <v>#REF!</v>
      </c>
      <c r="AK153" s="82" t="e">
        <f>'[1]Bewertung Kolloquium'!A13</f>
        <v>#REF!</v>
      </c>
      <c r="AL153" s="82" t="e">
        <f>IF('[1]Bewertung Kolloquium'!F13='[1]Bewertung Kolloquium'!$C$9,'[1]Bewertung Kolloquium'!$C13,IF('[1]Bewertung Kolloquium'!F13='[1]Bewertung Kolloquium'!$D$9,'[1]Bewertung Kolloquium'!$D13,IF('[1]Bewertung Kolloquium'!F13='[1]Bewertung Kolloquium'!$E$9,'[1]Bewertung Kolloquium'!$E13,"")))</f>
        <v>#REF!</v>
      </c>
      <c r="AM153" s="83">
        <f>'[1]Bewertung Kolloquium'!F13</f>
        <v>0</v>
      </c>
      <c r="AN153" s="83">
        <f>'[1]Bewertung Kolloquium'!L13</f>
        <v>0</v>
      </c>
      <c r="AO153" s="82"/>
      <c r="AP153" s="82"/>
    </row>
    <row r="154" spans="14:42">
      <c r="N154" s="82"/>
      <c r="O154" s="82"/>
      <c r="P154" s="82"/>
      <c r="Q154" s="82"/>
      <c r="R154" s="82"/>
      <c r="S154" s="82"/>
      <c r="T154" s="82"/>
      <c r="U154" s="82"/>
      <c r="V154" s="82"/>
      <c r="W154" s="82"/>
      <c r="X154" s="82"/>
      <c r="Y154" s="82"/>
      <c r="Z154" s="82"/>
      <c r="AA154" s="82"/>
      <c r="AB154" s="82"/>
      <c r="AC154" s="82"/>
      <c r="AD154" s="82"/>
      <c r="AE154" s="82"/>
      <c r="AF154" s="82"/>
      <c r="AG154" s="82"/>
      <c r="AH154" s="82"/>
      <c r="AI154" s="82"/>
      <c r="AJ154" s="82" t="e">
        <f>'[1]Bewertung Kolloquium'!A14</f>
        <v>#REF!</v>
      </c>
      <c r="AK154" s="82" t="e">
        <f>'[1]Bewertung Kolloquium'!A14</f>
        <v>#REF!</v>
      </c>
      <c r="AL154" s="82" t="e">
        <f>IF('[1]Bewertung Kolloquium'!F14='[1]Bewertung Kolloquium'!$C$9,'[1]Bewertung Kolloquium'!$C14,IF('[1]Bewertung Kolloquium'!F14='[1]Bewertung Kolloquium'!$D$9,'[1]Bewertung Kolloquium'!$D14,IF('[1]Bewertung Kolloquium'!F14='[1]Bewertung Kolloquium'!$E$9,'[1]Bewertung Kolloquium'!$E14,"")))</f>
        <v>#REF!</v>
      </c>
      <c r="AM154" s="83">
        <f>'[1]Bewertung Kolloquium'!F14</f>
        <v>0</v>
      </c>
      <c r="AN154" s="83">
        <f>'[1]Bewertung Kolloquium'!L14</f>
        <v>0</v>
      </c>
      <c r="AO154" s="82"/>
      <c r="AP154" s="82"/>
    </row>
    <row r="155" spans="14:42">
      <c r="N155" s="82"/>
      <c r="O155" s="82"/>
      <c r="P155" s="82"/>
      <c r="Q155" s="82"/>
      <c r="R155" s="82"/>
      <c r="S155" s="82"/>
      <c r="T155" s="82"/>
      <c r="U155" s="82"/>
      <c r="V155" s="82"/>
      <c r="W155" s="82"/>
      <c r="X155" s="82"/>
      <c r="Y155" s="82"/>
      <c r="Z155" s="82"/>
      <c r="AA155" s="82"/>
      <c r="AB155" s="82"/>
      <c r="AC155" s="82"/>
      <c r="AD155" s="82"/>
      <c r="AE155" s="82"/>
      <c r="AF155" s="82"/>
      <c r="AG155" s="82"/>
      <c r="AH155" s="82"/>
      <c r="AI155" s="82"/>
      <c r="AJ155" s="82" t="e">
        <f>'[1]Bewertung Kolloquium'!A15</f>
        <v>#REF!</v>
      </c>
      <c r="AK155" s="82" t="e">
        <f>'[1]Bewertung Kolloquium'!A15</f>
        <v>#REF!</v>
      </c>
      <c r="AL155" s="82" t="e">
        <f>IF('[1]Bewertung Kolloquium'!F15='[1]Bewertung Kolloquium'!$C$9,'[1]Bewertung Kolloquium'!$C15,IF('[1]Bewertung Kolloquium'!F15='[1]Bewertung Kolloquium'!$D$9,'[1]Bewertung Kolloquium'!$D15,IF('[1]Bewertung Kolloquium'!F15='[1]Bewertung Kolloquium'!$E$9,'[1]Bewertung Kolloquium'!$E15,"")))</f>
        <v>#REF!</v>
      </c>
      <c r="AM155" s="83">
        <f>'[1]Bewertung Kolloquium'!F15</f>
        <v>0</v>
      </c>
      <c r="AN155" s="83" t="e">
        <f>'[1]Bewertung Kolloquium'!L15</f>
        <v>#REF!</v>
      </c>
      <c r="AO155" s="82"/>
      <c r="AP155" s="82"/>
    </row>
    <row r="156" spans="14:42">
      <c r="N156" s="82"/>
      <c r="O156" s="82"/>
      <c r="P156" s="82"/>
      <c r="Q156" s="82"/>
      <c r="R156" s="82"/>
      <c r="S156" s="82"/>
      <c r="T156" s="82"/>
      <c r="U156" s="82"/>
      <c r="V156" s="82"/>
      <c r="W156" s="82"/>
      <c r="X156" s="82"/>
      <c r="Y156" s="82"/>
      <c r="Z156" s="82"/>
      <c r="AA156" s="82"/>
      <c r="AB156" s="82"/>
      <c r="AC156" s="82"/>
      <c r="AD156" s="82"/>
      <c r="AE156" s="82"/>
      <c r="AF156" s="82"/>
      <c r="AG156" s="82"/>
      <c r="AH156" s="82"/>
      <c r="AI156" s="82"/>
      <c r="AJ156" s="82" t="e">
        <f>'[1]Bewertung Kolloquium'!A16</f>
        <v>#REF!</v>
      </c>
      <c r="AK156" s="82" t="e">
        <f>'[1]Bewertung Kolloquium'!A16</f>
        <v>#REF!</v>
      </c>
      <c r="AL156" s="82" t="e">
        <f>IF('[1]Bewertung Kolloquium'!F16='[1]Bewertung Kolloquium'!$C$9,'[1]Bewertung Kolloquium'!$C16,IF('[1]Bewertung Kolloquium'!F16='[1]Bewertung Kolloquium'!$D$9,'[1]Bewertung Kolloquium'!$D16,IF('[1]Bewertung Kolloquium'!F16='[1]Bewertung Kolloquium'!$E$9,'[1]Bewertung Kolloquium'!$E16,"")))</f>
        <v>#REF!</v>
      </c>
      <c r="AM156" s="83">
        <f>'[1]Bewertung Kolloquium'!F16</f>
        <v>0</v>
      </c>
      <c r="AN156" s="83">
        <f>'[1]Bewertung Kolloquium'!L16</f>
        <v>0</v>
      </c>
      <c r="AO156" s="82"/>
      <c r="AP156" s="82"/>
    </row>
    <row r="157" spans="14:42">
      <c r="N157" s="82"/>
      <c r="O157" s="82"/>
      <c r="P157" s="82"/>
      <c r="Q157" s="82"/>
      <c r="R157" s="82"/>
      <c r="S157" s="82"/>
      <c r="T157" s="82"/>
      <c r="U157" s="82"/>
      <c r="V157" s="82"/>
      <c r="W157" s="82"/>
      <c r="X157" s="82"/>
      <c r="Y157" s="82"/>
      <c r="Z157" s="82"/>
      <c r="AA157" s="82"/>
      <c r="AB157" s="82"/>
      <c r="AC157" s="82"/>
      <c r="AD157" s="82"/>
      <c r="AE157" s="82"/>
      <c r="AF157" s="82"/>
      <c r="AG157" s="82"/>
      <c r="AH157" s="82"/>
      <c r="AI157" s="82"/>
      <c r="AJ157" s="82">
        <f>'[1]Bewertung Kolloquium'!A17</f>
        <v>0</v>
      </c>
      <c r="AK157" s="82">
        <f>'[1]Bewertung Kolloquium'!A17</f>
        <v>0</v>
      </c>
      <c r="AL157" s="82" t="e">
        <f>IF('[1]Bewertung Kolloquium'!F17='[1]Bewertung Kolloquium'!$C$9,'[1]Bewertung Kolloquium'!$C17,IF('[1]Bewertung Kolloquium'!F17='[1]Bewertung Kolloquium'!$D$9,'[1]Bewertung Kolloquium'!$D17,IF('[1]Bewertung Kolloquium'!F17='[1]Bewertung Kolloquium'!$E$9,'[1]Bewertung Kolloquium'!$E17,"")))</f>
        <v>#REF!</v>
      </c>
      <c r="AM157" s="83">
        <f>'[1]Bewertung Kolloquium'!F17</f>
        <v>0</v>
      </c>
      <c r="AN157" s="83">
        <f>'[1]Bewertung Kolloquium'!L17</f>
        <v>0</v>
      </c>
      <c r="AO157" s="82"/>
      <c r="AP157" s="82"/>
    </row>
    <row r="158" spans="14:42">
      <c r="N158" s="82"/>
      <c r="O158" s="82"/>
      <c r="P158" s="82"/>
      <c r="Q158" s="82"/>
      <c r="R158" s="82"/>
      <c r="S158" s="82"/>
      <c r="T158" s="82"/>
      <c r="U158" s="82"/>
      <c r="V158" s="82"/>
      <c r="W158" s="82"/>
      <c r="X158" s="82"/>
      <c r="Y158" s="82"/>
      <c r="Z158" s="82"/>
      <c r="AA158" s="82"/>
      <c r="AB158" s="82"/>
      <c r="AC158" s="82"/>
      <c r="AD158" s="82"/>
      <c r="AE158" s="82"/>
      <c r="AF158" s="82"/>
      <c r="AG158" s="82"/>
      <c r="AH158" s="82"/>
      <c r="AI158" s="82"/>
      <c r="AJ158" s="82" t="e">
        <f>'[1]Bewertung Kolloquium'!A18</f>
        <v>#REF!</v>
      </c>
      <c r="AK158" s="82" t="e">
        <f>'[1]Bewertung Kolloquium'!A18</f>
        <v>#REF!</v>
      </c>
      <c r="AL158" s="82" t="e">
        <f>IF('[1]Bewertung Kolloquium'!F18='[1]Bewertung Kolloquium'!$C$9,'[1]Bewertung Kolloquium'!$C18,IF('[1]Bewertung Kolloquium'!F18='[1]Bewertung Kolloquium'!$D$9,'[1]Bewertung Kolloquium'!$D18,IF('[1]Bewertung Kolloquium'!F18='[1]Bewertung Kolloquium'!$E$9,'[1]Bewertung Kolloquium'!$E18,"")))</f>
        <v>#REF!</v>
      </c>
      <c r="AM158" s="83" t="e">
        <f>'[1]Bewertung Kolloquium'!F18</f>
        <v>#REF!</v>
      </c>
      <c r="AN158" s="83">
        <f>'[1]Bewertung Kolloquium'!L18</f>
        <v>0</v>
      </c>
      <c r="AO158" s="82"/>
      <c r="AP158" s="82"/>
    </row>
    <row r="159" spans="14:42">
      <c r="N159" s="82"/>
      <c r="O159" s="82"/>
      <c r="P159" s="82"/>
      <c r="Q159" s="82"/>
      <c r="R159" s="82"/>
      <c r="S159" s="82"/>
      <c r="T159" s="82"/>
      <c r="U159" s="82"/>
      <c r="V159" s="82"/>
      <c r="W159" s="82"/>
      <c r="X159" s="82"/>
      <c r="Y159" s="82"/>
      <c r="Z159" s="82"/>
      <c r="AA159" s="82"/>
      <c r="AB159" s="82"/>
      <c r="AC159" s="82"/>
      <c r="AD159" s="82"/>
      <c r="AE159" s="82"/>
      <c r="AF159" s="82"/>
      <c r="AG159" s="82"/>
      <c r="AH159" s="82"/>
      <c r="AI159" s="82"/>
      <c r="AJ159" s="82" t="e">
        <f>'[1]Bewertung Kolloquium'!A19</f>
        <v>#REF!</v>
      </c>
      <c r="AK159" s="82" t="e">
        <f>'[1]Bewertung Kolloquium'!A19</f>
        <v>#REF!</v>
      </c>
      <c r="AL159" s="82" t="e">
        <f>IF('[1]Bewertung Kolloquium'!F19='[1]Bewertung Kolloquium'!$C$9,'[1]Bewertung Kolloquium'!$C19,IF('[1]Bewertung Kolloquium'!F19='[1]Bewertung Kolloquium'!$D$9,'[1]Bewertung Kolloquium'!$D19,IF('[1]Bewertung Kolloquium'!F19='[1]Bewertung Kolloquium'!$E$9,'[1]Bewertung Kolloquium'!$E19,"")))</f>
        <v>#REF!</v>
      </c>
      <c r="AM159" s="83">
        <f>'[1]Bewertung Kolloquium'!F19</f>
        <v>0</v>
      </c>
      <c r="AN159" s="83">
        <f>'[1]Bewertung Kolloquium'!L19</f>
        <v>0</v>
      </c>
      <c r="AO159" s="82"/>
      <c r="AP159" s="82"/>
    </row>
    <row r="160" spans="14:42">
      <c r="N160" s="82"/>
      <c r="O160" s="82"/>
      <c r="P160" s="82"/>
      <c r="Q160" s="82"/>
      <c r="R160" s="82"/>
      <c r="S160" s="82"/>
      <c r="T160" s="82"/>
      <c r="U160" s="82"/>
      <c r="V160" s="82"/>
      <c r="W160" s="82"/>
      <c r="X160" s="82"/>
      <c r="Y160" s="82"/>
      <c r="Z160" s="82"/>
      <c r="AA160" s="82"/>
      <c r="AB160" s="82"/>
      <c r="AC160" s="82"/>
      <c r="AD160" s="82"/>
      <c r="AE160" s="82"/>
      <c r="AF160" s="82"/>
      <c r="AG160" s="82"/>
      <c r="AH160" s="82"/>
      <c r="AI160" s="82"/>
      <c r="AJ160" s="82" t="e">
        <f>'[1]Bewertung Kolloquium'!A20</f>
        <v>#REF!</v>
      </c>
      <c r="AK160" s="82" t="e">
        <f>'[1]Bewertung Kolloquium'!A20</f>
        <v>#REF!</v>
      </c>
      <c r="AL160" s="82" t="e">
        <f>IF('[1]Bewertung Kolloquium'!F20='[1]Bewertung Kolloquium'!$C$9,'[1]Bewertung Kolloquium'!$C20,IF('[1]Bewertung Kolloquium'!F20='[1]Bewertung Kolloquium'!$D$9,'[1]Bewertung Kolloquium'!$D20,IF('[1]Bewertung Kolloquium'!F20='[1]Bewertung Kolloquium'!$E$9,'[1]Bewertung Kolloquium'!$E20,"")))</f>
        <v>#REF!</v>
      </c>
      <c r="AM160" s="83">
        <f>'[1]Bewertung Kolloquium'!F20</f>
        <v>0</v>
      </c>
      <c r="AN160" s="83">
        <f>'[1]Bewertung Kolloquium'!L20</f>
        <v>0</v>
      </c>
      <c r="AO160" s="82"/>
      <c r="AP160" s="82"/>
    </row>
    <row r="161" spans="14:42">
      <c r="N161" s="82"/>
      <c r="O161" s="82"/>
      <c r="P161" s="82"/>
      <c r="Q161" s="82"/>
      <c r="R161" s="82"/>
      <c r="S161" s="82"/>
      <c r="T161" s="82"/>
      <c r="U161" s="82"/>
      <c r="V161" s="82"/>
      <c r="W161" s="82"/>
      <c r="X161" s="82"/>
      <c r="Y161" s="82"/>
      <c r="Z161" s="82"/>
      <c r="AA161" s="82"/>
      <c r="AB161" s="82"/>
      <c r="AC161" s="82"/>
      <c r="AD161" s="82"/>
      <c r="AE161" s="82"/>
      <c r="AF161" s="82"/>
      <c r="AG161" s="82"/>
      <c r="AH161" s="82"/>
      <c r="AI161" s="82"/>
      <c r="AJ161" s="82" t="e">
        <f>'[1]Bewertung Kolloquium'!#REF!</f>
        <v>#REF!</v>
      </c>
      <c r="AK161" s="82" t="e">
        <f>'[1]Bewertung Kolloquium'!#REF!</f>
        <v>#REF!</v>
      </c>
      <c r="AL161" s="82" t="e">
        <f>IF('[1]Bewertung Kolloquium'!#REF!='[1]Bewertung Kolloquium'!$C$9,'[1]Bewertung Kolloquium'!#REF!,IF('[1]Bewertung Kolloquium'!#REF!='[1]Bewertung Kolloquium'!$D$9,'[1]Bewertung Kolloquium'!#REF!,IF('[1]Bewertung Kolloquium'!#REF!='[1]Bewertung Kolloquium'!$E$9,'[1]Bewertung Kolloquium'!#REF!,"")))</f>
        <v>#REF!</v>
      </c>
      <c r="AM161" s="83" t="e">
        <f>'[1]Bewertung Kolloquium'!#REF!</f>
        <v>#REF!</v>
      </c>
      <c r="AN161" s="83" t="e">
        <f>'[1]Bewertung Kolloquium'!#REF!</f>
        <v>#REF!</v>
      </c>
      <c r="AO161" s="82"/>
      <c r="AP161" s="82"/>
    </row>
    <row r="162" spans="14:42">
      <c r="N162" s="82"/>
      <c r="O162" s="82"/>
      <c r="P162" s="82"/>
      <c r="Q162" s="82"/>
      <c r="R162" s="82"/>
      <c r="S162" s="82"/>
      <c r="T162" s="82"/>
      <c r="U162" s="82"/>
      <c r="V162" s="82"/>
      <c r="W162" s="82"/>
      <c r="X162" s="82"/>
      <c r="Y162" s="82"/>
      <c r="Z162" s="82"/>
      <c r="AA162" s="82"/>
      <c r="AB162" s="82"/>
      <c r="AC162" s="82"/>
      <c r="AD162" s="82"/>
      <c r="AE162" s="82"/>
      <c r="AF162" s="82"/>
      <c r="AG162" s="82"/>
      <c r="AH162" s="82"/>
      <c r="AI162" s="82"/>
      <c r="AJ162" s="82">
        <f>'[1]Bewertung Kolloquium'!A21</f>
        <v>0</v>
      </c>
      <c r="AK162" s="82">
        <f>'[1]Bewertung Kolloquium'!A21</f>
        <v>0</v>
      </c>
      <c r="AL162" s="82" t="e">
        <f>IF('[1]Bewertung Kolloquium'!F21='[1]Bewertung Kolloquium'!$C$9,'[1]Bewertung Kolloquium'!$C21,IF('[1]Bewertung Kolloquium'!F21='[1]Bewertung Kolloquium'!$D$9,'[1]Bewertung Kolloquium'!$D21,IF('[1]Bewertung Kolloquium'!F21='[1]Bewertung Kolloquium'!$E$9,'[1]Bewertung Kolloquium'!$E21,"")))</f>
        <v>#REF!</v>
      </c>
      <c r="AM162" s="83">
        <f>'[1]Bewertung Kolloquium'!F21</f>
        <v>0</v>
      </c>
      <c r="AN162" s="83">
        <f>'[1]Bewertung Kolloquium'!L21</f>
        <v>0</v>
      </c>
      <c r="AO162" s="82"/>
      <c r="AP162" s="82"/>
    </row>
    <row r="163" spans="14:42">
      <c r="N163" s="82"/>
      <c r="O163" s="82"/>
      <c r="P163" s="82"/>
      <c r="Q163" s="82"/>
      <c r="R163" s="82"/>
      <c r="S163" s="82"/>
      <c r="T163" s="82"/>
      <c r="U163" s="82"/>
      <c r="V163" s="82"/>
      <c r="W163" s="82"/>
      <c r="X163" s="82"/>
      <c r="Y163" s="82"/>
      <c r="Z163" s="82"/>
      <c r="AA163" s="82"/>
      <c r="AB163" s="82"/>
      <c r="AC163" s="82"/>
      <c r="AD163" s="82"/>
      <c r="AE163" s="82"/>
      <c r="AF163" s="82"/>
      <c r="AG163" s="82"/>
      <c r="AH163" s="82"/>
      <c r="AI163" s="82"/>
      <c r="AJ163" s="82" t="e">
        <f>'[1]Bewertung Kolloquium'!A22</f>
        <v>#REF!</v>
      </c>
      <c r="AK163" s="82" t="e">
        <f>'[1]Bewertung Kolloquium'!A22</f>
        <v>#REF!</v>
      </c>
      <c r="AL163" s="82" t="e">
        <f>IF('[1]Bewertung Kolloquium'!F22='[1]Bewertung Kolloquium'!$C$9,'[1]Bewertung Kolloquium'!$C22,IF('[1]Bewertung Kolloquium'!F22='[1]Bewertung Kolloquium'!$D$9,'[1]Bewertung Kolloquium'!$D22,IF('[1]Bewertung Kolloquium'!F22='[1]Bewertung Kolloquium'!$E$9,'[1]Bewertung Kolloquium'!$E22,"")))</f>
        <v>#REF!</v>
      </c>
      <c r="AM163" s="83" t="e">
        <f>'[1]Bewertung Kolloquium'!F22</f>
        <v>#REF!</v>
      </c>
      <c r="AN163" s="83">
        <f>'[1]Bewertung Kolloquium'!L22</f>
        <v>0</v>
      </c>
      <c r="AO163" s="82"/>
      <c r="AP163" s="82"/>
    </row>
    <row r="164" spans="14:42">
      <c r="N164" s="82"/>
      <c r="O164" s="82"/>
      <c r="P164" s="82"/>
      <c r="Q164" s="82"/>
      <c r="R164" s="82"/>
      <c r="S164" s="82"/>
      <c r="T164" s="82"/>
      <c r="U164" s="82"/>
      <c r="V164" s="82"/>
      <c r="W164" s="82"/>
      <c r="X164" s="82"/>
      <c r="Y164" s="82"/>
      <c r="Z164" s="82"/>
      <c r="AA164" s="82"/>
      <c r="AB164" s="82"/>
      <c r="AC164" s="82"/>
      <c r="AD164" s="82"/>
      <c r="AE164" s="82"/>
      <c r="AF164" s="82"/>
      <c r="AG164" s="82"/>
      <c r="AH164" s="82"/>
      <c r="AI164" s="82"/>
      <c r="AJ164" s="82" t="e">
        <f>'[1]Bewertung Kolloquium'!A23</f>
        <v>#REF!</v>
      </c>
      <c r="AK164" s="82" t="e">
        <f>'[1]Bewertung Kolloquium'!A23</f>
        <v>#REF!</v>
      </c>
      <c r="AL164" s="82" t="e">
        <f>IF('[1]Bewertung Kolloquium'!F23='[1]Bewertung Kolloquium'!$C$9,'[1]Bewertung Kolloquium'!$C23,IF('[1]Bewertung Kolloquium'!F23='[1]Bewertung Kolloquium'!$D$9,'[1]Bewertung Kolloquium'!$D23,IF('[1]Bewertung Kolloquium'!F23='[1]Bewertung Kolloquium'!$E$9,'[1]Bewertung Kolloquium'!$E23,"")))</f>
        <v>#REF!</v>
      </c>
      <c r="AM164" s="83">
        <f>'[1]Bewertung Kolloquium'!F23</f>
        <v>0</v>
      </c>
      <c r="AN164" s="83">
        <f>'[1]Bewertung Kolloquium'!L23</f>
        <v>0</v>
      </c>
      <c r="AO164" s="82"/>
      <c r="AP164" s="82"/>
    </row>
    <row r="165" spans="14:42">
      <c r="N165" s="82"/>
      <c r="O165" s="82"/>
      <c r="P165" s="82"/>
      <c r="Q165" s="82"/>
      <c r="R165" s="82"/>
      <c r="S165" s="82"/>
      <c r="T165" s="82"/>
      <c r="U165" s="82"/>
      <c r="V165" s="82"/>
      <c r="W165" s="82"/>
      <c r="X165" s="82"/>
      <c r="Y165" s="82"/>
      <c r="Z165" s="82"/>
      <c r="AA165" s="82"/>
      <c r="AB165" s="82"/>
      <c r="AC165" s="82"/>
      <c r="AD165" s="82"/>
      <c r="AE165" s="82"/>
      <c r="AF165" s="82"/>
      <c r="AG165" s="82"/>
      <c r="AH165" s="82"/>
      <c r="AI165" s="82"/>
      <c r="AJ165" s="82" t="e">
        <f>'[1]Bewertung Kolloquium'!A24</f>
        <v>#REF!</v>
      </c>
      <c r="AK165" s="82" t="e">
        <f>'[1]Bewertung Kolloquium'!A24</f>
        <v>#REF!</v>
      </c>
      <c r="AL165" s="82" t="e">
        <f>IF('[1]Bewertung Kolloquium'!F24='[1]Bewertung Kolloquium'!$C$9,'[1]Bewertung Kolloquium'!$C24,IF('[1]Bewertung Kolloquium'!F24='[1]Bewertung Kolloquium'!$D$9,'[1]Bewertung Kolloquium'!$D24,IF('[1]Bewertung Kolloquium'!F24='[1]Bewertung Kolloquium'!$E$9,'[1]Bewertung Kolloquium'!$E24,"")))</f>
        <v>#REF!</v>
      </c>
      <c r="AM165" s="83">
        <f>'[1]Bewertung Kolloquium'!F24</f>
        <v>0</v>
      </c>
      <c r="AN165" s="83" t="e">
        <f>'[1]Bewertung Kolloquium'!L24</f>
        <v>#REF!</v>
      </c>
      <c r="AO165" s="82"/>
      <c r="AP165" s="82"/>
    </row>
    <row r="166" spans="14:42">
      <c r="N166" s="82"/>
      <c r="O166" s="82"/>
      <c r="P166" s="82"/>
      <c r="Q166" s="82"/>
      <c r="R166" s="82"/>
      <c r="S166" s="82"/>
      <c r="T166" s="82"/>
      <c r="U166" s="82"/>
      <c r="V166" s="82"/>
      <c r="W166" s="82"/>
      <c r="X166" s="82"/>
      <c r="Y166" s="82"/>
      <c r="Z166" s="82"/>
      <c r="AA166" s="82"/>
      <c r="AB166" s="82"/>
      <c r="AC166" s="82"/>
      <c r="AD166" s="82"/>
      <c r="AE166" s="82"/>
      <c r="AF166" s="82"/>
      <c r="AG166" s="82"/>
      <c r="AH166" s="82"/>
      <c r="AI166" s="82"/>
      <c r="AJ166" s="82" t="e">
        <f>'[1]Bewertung Kolloquium'!A25</f>
        <v>#REF!</v>
      </c>
      <c r="AK166" s="82" t="e">
        <f>'[1]Bewertung Kolloquium'!A25</f>
        <v>#REF!</v>
      </c>
      <c r="AL166" s="82" t="e">
        <f>IF('[1]Bewertung Kolloquium'!F25='[1]Bewertung Kolloquium'!$C$9,'[1]Bewertung Kolloquium'!$C25,IF('[1]Bewertung Kolloquium'!F25='[1]Bewertung Kolloquium'!$D$9,'[1]Bewertung Kolloquium'!$D25,IF('[1]Bewertung Kolloquium'!F25='[1]Bewertung Kolloquium'!$E$9,'[1]Bewertung Kolloquium'!$E25,"")))</f>
        <v>#REF!</v>
      </c>
      <c r="AM166" s="83">
        <f>'[1]Bewertung Kolloquium'!F25</f>
        <v>0</v>
      </c>
      <c r="AN166" s="83" t="e">
        <f>'[1]Bewertung Kolloquium'!L25</f>
        <v>#REF!</v>
      </c>
      <c r="AO166" s="82"/>
      <c r="AP166" s="82"/>
    </row>
    <row r="167" spans="14:42">
      <c r="N167" s="82"/>
      <c r="O167" s="82"/>
      <c r="P167" s="82"/>
      <c r="Q167" s="82"/>
      <c r="R167" s="82"/>
      <c r="S167" s="82"/>
      <c r="T167" s="82"/>
      <c r="U167" s="82"/>
      <c r="V167" s="82"/>
      <c r="W167" s="82"/>
      <c r="X167" s="82"/>
      <c r="Y167" s="82"/>
      <c r="Z167" s="82"/>
      <c r="AA167" s="82"/>
      <c r="AB167" s="82"/>
      <c r="AC167" s="82"/>
      <c r="AD167" s="82"/>
      <c r="AE167" s="82"/>
      <c r="AF167" s="82"/>
      <c r="AG167" s="82"/>
      <c r="AH167" s="82"/>
      <c r="AI167" s="82"/>
      <c r="AJ167" s="82" t="e">
        <f>'[1]Bewertung Kolloquium'!A26</f>
        <v>#REF!</v>
      </c>
      <c r="AK167" s="82" t="e">
        <f>'[1]Bewertung Kolloquium'!A26</f>
        <v>#REF!</v>
      </c>
      <c r="AL167" s="82" t="e">
        <f>IF('[1]Bewertung Kolloquium'!F26='[1]Bewertung Kolloquium'!$C$9,'[1]Bewertung Kolloquium'!$C26,IF('[1]Bewertung Kolloquium'!F26='[1]Bewertung Kolloquium'!$D$9,'[1]Bewertung Kolloquium'!$D26,IF('[1]Bewertung Kolloquium'!F26='[1]Bewertung Kolloquium'!$E$9,'[1]Bewertung Kolloquium'!$E26,"")))</f>
        <v>#REF!</v>
      </c>
      <c r="AM167" s="83">
        <f>'[1]Bewertung Kolloquium'!F26</f>
        <v>0</v>
      </c>
      <c r="AN167" s="83">
        <f>'[1]Bewertung Kolloquium'!L26</f>
        <v>0</v>
      </c>
      <c r="AO167" s="82"/>
      <c r="AP167" s="82"/>
    </row>
    <row r="168" spans="14:42">
      <c r="N168" s="82"/>
      <c r="O168" s="82"/>
      <c r="P168" s="82"/>
      <c r="Q168" s="82"/>
      <c r="R168" s="82"/>
      <c r="S168" s="82"/>
      <c r="T168" s="82"/>
      <c r="U168" s="82"/>
      <c r="V168" s="82"/>
      <c r="W168" s="82"/>
      <c r="X168" s="82"/>
      <c r="Y168" s="82"/>
      <c r="Z168" s="82"/>
      <c r="AA168" s="82"/>
      <c r="AB168" s="82"/>
      <c r="AC168" s="82"/>
      <c r="AD168" s="82"/>
      <c r="AE168" s="82"/>
      <c r="AF168" s="82"/>
      <c r="AG168" s="82"/>
      <c r="AH168" s="82"/>
      <c r="AI168" s="82"/>
      <c r="AJ168" s="82" t="e">
        <f>'[1]Bewertung Kolloquium'!A27</f>
        <v>#REF!</v>
      </c>
      <c r="AK168" s="82" t="e">
        <f>'[1]Bewertung Kolloquium'!A27</f>
        <v>#REF!</v>
      </c>
      <c r="AL168" s="82" t="e">
        <f>IF('[1]Bewertung Kolloquium'!F27='[1]Bewertung Kolloquium'!$C$9,'[1]Bewertung Kolloquium'!$C27,IF('[1]Bewertung Kolloquium'!F27='[1]Bewertung Kolloquium'!$D$9,'[1]Bewertung Kolloquium'!$D27,IF('[1]Bewertung Kolloquium'!F27='[1]Bewertung Kolloquium'!$E$9,'[1]Bewertung Kolloquium'!$E27,"")))</f>
        <v>#REF!</v>
      </c>
      <c r="AM168" s="83">
        <f>'[1]Bewertung Kolloquium'!F27</f>
        <v>0</v>
      </c>
      <c r="AN168" s="83">
        <f>'[1]Bewertung Kolloquium'!L27</f>
        <v>0</v>
      </c>
      <c r="AO168" s="82"/>
      <c r="AP168" s="82"/>
    </row>
    <row r="169" spans="14:42">
      <c r="N169" s="82"/>
      <c r="O169" s="82"/>
      <c r="P169" s="82"/>
      <c r="Q169" s="82"/>
      <c r="R169" s="82"/>
      <c r="S169" s="82"/>
      <c r="T169" s="82"/>
      <c r="U169" s="82"/>
      <c r="V169" s="82"/>
      <c r="W169" s="82"/>
      <c r="X169" s="82"/>
      <c r="Y169" s="82"/>
      <c r="Z169" s="82"/>
      <c r="AA169" s="82"/>
      <c r="AB169" s="82"/>
      <c r="AC169" s="82"/>
      <c r="AD169" s="82"/>
      <c r="AE169" s="82"/>
      <c r="AF169" s="82"/>
      <c r="AG169" s="82"/>
      <c r="AH169" s="82"/>
      <c r="AI169" s="82"/>
      <c r="AJ169" s="82">
        <f>'[1]Bewertung Kolloquium'!A28</f>
        <v>0</v>
      </c>
      <c r="AK169" s="82">
        <f>'[1]Bewertung Kolloquium'!A28</f>
        <v>0</v>
      </c>
      <c r="AL169" s="82" t="e">
        <f>IF('[1]Bewertung Kolloquium'!F28='[1]Bewertung Kolloquium'!$C$9,'[1]Bewertung Kolloquium'!$C28,IF('[1]Bewertung Kolloquium'!F28='[1]Bewertung Kolloquium'!$D$9,'[1]Bewertung Kolloquium'!$D28,IF('[1]Bewertung Kolloquium'!F28='[1]Bewertung Kolloquium'!$E$9,'[1]Bewertung Kolloquium'!$E28,"")))</f>
        <v>#REF!</v>
      </c>
      <c r="AM169" s="83">
        <f>'[1]Bewertung Kolloquium'!F28</f>
        <v>0</v>
      </c>
      <c r="AN169" s="83">
        <f>'[1]Bewertung Kolloquium'!L28</f>
        <v>0</v>
      </c>
      <c r="AO169" s="82"/>
      <c r="AP169" s="82"/>
    </row>
    <row r="170" spans="14:42">
      <c r="N170" s="82"/>
      <c r="O170" s="82"/>
      <c r="P170" s="82"/>
      <c r="Q170" s="82"/>
      <c r="R170" s="82"/>
      <c r="S170" s="82"/>
      <c r="T170" s="82"/>
      <c r="U170" s="82"/>
      <c r="V170" s="82"/>
      <c r="W170" s="82"/>
      <c r="X170" s="82"/>
      <c r="Y170" s="82"/>
      <c r="Z170" s="82"/>
      <c r="AA170" s="82"/>
      <c r="AB170" s="82"/>
      <c r="AC170" s="82"/>
      <c r="AD170" s="82"/>
      <c r="AE170" s="82"/>
      <c r="AF170" s="82"/>
      <c r="AG170" s="82"/>
      <c r="AH170" s="82"/>
      <c r="AI170" s="82"/>
      <c r="AJ170" s="82" t="e">
        <f>'[1]Bewertung Kolloquium'!A29</f>
        <v>#REF!</v>
      </c>
      <c r="AK170" s="82" t="e">
        <f>'[1]Bewertung Kolloquium'!A29</f>
        <v>#REF!</v>
      </c>
      <c r="AL170" s="82" t="e">
        <f>IF('[1]Bewertung Kolloquium'!F29='[1]Bewertung Kolloquium'!$C$9,'[1]Bewertung Kolloquium'!$C29,IF('[1]Bewertung Kolloquium'!F29='[1]Bewertung Kolloquium'!$D$9,'[1]Bewertung Kolloquium'!$D29,IF('[1]Bewertung Kolloquium'!F29='[1]Bewertung Kolloquium'!$E$9,'[1]Bewertung Kolloquium'!$E29,"")))</f>
        <v>#REF!</v>
      </c>
      <c r="AM170" s="83" t="e">
        <f>'[1]Bewertung Kolloquium'!F29</f>
        <v>#REF!</v>
      </c>
      <c r="AN170" s="83">
        <f>'[1]Bewertung Kolloquium'!L29</f>
        <v>0</v>
      </c>
      <c r="AO170" s="82"/>
      <c r="AP170" s="82"/>
    </row>
    <row r="171" spans="14:42">
      <c r="N171" s="82"/>
      <c r="O171" s="82"/>
      <c r="P171" s="82"/>
      <c r="Q171" s="82"/>
      <c r="R171" s="82"/>
      <c r="S171" s="82"/>
      <c r="T171" s="82"/>
      <c r="U171" s="82"/>
      <c r="V171" s="82"/>
      <c r="W171" s="82"/>
      <c r="X171" s="82"/>
      <c r="Y171" s="82"/>
      <c r="Z171" s="82"/>
      <c r="AA171" s="82"/>
      <c r="AB171" s="82"/>
      <c r="AC171" s="82"/>
      <c r="AD171" s="82"/>
      <c r="AE171" s="82"/>
      <c r="AF171" s="82"/>
      <c r="AG171" s="82"/>
      <c r="AH171" s="82"/>
      <c r="AI171" s="82"/>
      <c r="AJ171" s="82" t="e">
        <f>'[1]Bewertung Kolloquium'!A30</f>
        <v>#REF!</v>
      </c>
      <c r="AK171" s="82" t="e">
        <f>'[1]Bewertung Kolloquium'!A30</f>
        <v>#REF!</v>
      </c>
      <c r="AL171" s="82" t="e">
        <f>IF('[1]Bewertung Kolloquium'!F30='[1]Bewertung Kolloquium'!$C$9,'[1]Bewertung Kolloquium'!$C30,IF('[1]Bewertung Kolloquium'!F30='[1]Bewertung Kolloquium'!$D$9,'[1]Bewertung Kolloquium'!$D30,IF('[1]Bewertung Kolloquium'!F30='[1]Bewertung Kolloquium'!$E$9,'[1]Bewertung Kolloquium'!$E30,"")))</f>
        <v>#REF!</v>
      </c>
      <c r="AM171" s="83" t="e">
        <f>'[1]Bewertung Kolloquium'!F30</f>
        <v>#REF!</v>
      </c>
      <c r="AN171" s="83">
        <f>'[1]Bewertung Kolloquium'!L30</f>
        <v>0</v>
      </c>
      <c r="AO171" s="82"/>
      <c r="AP171" s="82"/>
    </row>
    <row r="172" spans="14:42">
      <c r="N172" s="82"/>
      <c r="O172" s="82"/>
      <c r="P172" s="82"/>
      <c r="Q172" s="82"/>
      <c r="R172" s="82"/>
      <c r="S172" s="82"/>
      <c r="T172" s="82"/>
      <c r="U172" s="82"/>
      <c r="V172" s="82"/>
      <c r="W172" s="82"/>
      <c r="X172" s="82"/>
      <c r="Y172" s="82"/>
      <c r="Z172" s="82"/>
      <c r="AA172" s="82"/>
      <c r="AB172" s="82"/>
      <c r="AC172" s="82"/>
      <c r="AD172" s="82"/>
      <c r="AE172" s="82"/>
      <c r="AF172" s="82"/>
      <c r="AG172" s="82"/>
      <c r="AH172" s="82"/>
      <c r="AI172" s="82"/>
      <c r="AJ172" s="82">
        <f>'[1]Bewertung Kolloquium'!A31</f>
        <v>0</v>
      </c>
      <c r="AK172" s="82">
        <f>'[1]Bewertung Kolloquium'!A31</f>
        <v>0</v>
      </c>
      <c r="AL172" s="82" t="e">
        <f>IF('[1]Bewertung Kolloquium'!F31='[1]Bewertung Kolloquium'!$C$9,'[1]Bewertung Kolloquium'!$C31,IF('[1]Bewertung Kolloquium'!F31='[1]Bewertung Kolloquium'!$D$9,'[1]Bewertung Kolloquium'!$D31,IF('[1]Bewertung Kolloquium'!F31='[1]Bewertung Kolloquium'!$E$9,'[1]Bewertung Kolloquium'!$E31,"")))</f>
        <v>#REF!</v>
      </c>
      <c r="AM172" s="83">
        <f>'[1]Bewertung Kolloquium'!F31</f>
        <v>0</v>
      </c>
      <c r="AN172" s="83">
        <f>'[1]Bewertung Kolloquium'!L31</f>
        <v>0</v>
      </c>
      <c r="AO172" s="82"/>
      <c r="AP172" s="82"/>
    </row>
    <row r="173" spans="14:42">
      <c r="N173" s="82"/>
      <c r="O173" s="82"/>
      <c r="P173" s="82"/>
      <c r="Q173" s="82"/>
      <c r="R173" s="82"/>
      <c r="S173" s="82"/>
      <c r="T173" s="82"/>
      <c r="U173" s="82"/>
      <c r="V173" s="82"/>
      <c r="W173" s="82"/>
      <c r="X173" s="82"/>
      <c r="Y173" s="82"/>
      <c r="Z173" s="82"/>
      <c r="AA173" s="82"/>
      <c r="AB173" s="82"/>
      <c r="AC173" s="82"/>
      <c r="AD173" s="82"/>
      <c r="AE173" s="82"/>
      <c r="AF173" s="82"/>
      <c r="AG173" s="82"/>
      <c r="AH173" s="82"/>
      <c r="AI173" s="82"/>
      <c r="AJ173" s="82">
        <f>'[1]Bewertung Kolloquium'!A32</f>
        <v>0</v>
      </c>
      <c r="AK173" s="82">
        <f>'[1]Bewertung Kolloquium'!A32</f>
        <v>0</v>
      </c>
      <c r="AL173" s="82" t="e">
        <f>IF('[1]Bewertung Kolloquium'!F32='[1]Bewertung Kolloquium'!$C$9,'[1]Bewertung Kolloquium'!$C32,IF('[1]Bewertung Kolloquium'!F32='[1]Bewertung Kolloquium'!$D$9,'[1]Bewertung Kolloquium'!$D32,IF('[1]Bewertung Kolloquium'!F32='[1]Bewertung Kolloquium'!$E$9,'[1]Bewertung Kolloquium'!$E32,"")))</f>
        <v>#REF!</v>
      </c>
      <c r="AM173" s="83">
        <f>'[1]Bewertung Kolloquium'!F32</f>
        <v>0</v>
      </c>
      <c r="AN173" s="83">
        <f>'[1]Bewertung Kolloquium'!L32</f>
        <v>0</v>
      </c>
      <c r="AO173" s="82"/>
      <c r="AP173" s="82"/>
    </row>
    <row r="174" spans="14:42">
      <c r="N174" s="82"/>
      <c r="O174" s="82"/>
      <c r="P174" s="82"/>
      <c r="Q174" s="82"/>
      <c r="R174" s="82"/>
      <c r="S174" s="82"/>
      <c r="T174" s="82"/>
      <c r="U174" s="82"/>
      <c r="V174" s="82"/>
      <c r="W174" s="82"/>
      <c r="X174" s="82"/>
      <c r="Y174" s="82"/>
      <c r="Z174" s="82"/>
      <c r="AA174" s="82"/>
      <c r="AB174" s="82"/>
      <c r="AC174" s="82"/>
      <c r="AD174" s="82"/>
      <c r="AE174" s="82"/>
      <c r="AF174" s="82"/>
      <c r="AG174" s="82"/>
      <c r="AH174" s="82"/>
      <c r="AI174" s="82"/>
      <c r="AJ174" s="82">
        <f>'[1]Bewertung Kolloquium'!A33</f>
        <v>0</v>
      </c>
      <c r="AK174" s="82">
        <f>'[1]Bewertung Kolloquium'!A33</f>
        <v>0</v>
      </c>
      <c r="AL174" s="82" t="e">
        <f>IF('[1]Bewertung Kolloquium'!F33='[1]Bewertung Kolloquium'!$C$9,'[1]Bewertung Kolloquium'!$C33,IF('[1]Bewertung Kolloquium'!F33='[1]Bewertung Kolloquium'!$D$9,'[1]Bewertung Kolloquium'!$D33,IF('[1]Bewertung Kolloquium'!F33='[1]Bewertung Kolloquium'!$E$9,'[1]Bewertung Kolloquium'!$E33,"")))</f>
        <v>#REF!</v>
      </c>
      <c r="AM174" s="83">
        <f>'[1]Bewertung Kolloquium'!F33</f>
        <v>0</v>
      </c>
      <c r="AN174" s="83">
        <f>'[1]Bewertung Kolloquium'!L33</f>
        <v>0</v>
      </c>
      <c r="AO174" s="82"/>
      <c r="AP174" s="82"/>
    </row>
    <row r="175" spans="14:42">
      <c r="N175" s="82"/>
      <c r="O175" s="82"/>
      <c r="P175" s="82"/>
      <c r="Q175" s="82"/>
      <c r="R175" s="82"/>
      <c r="S175" s="82"/>
      <c r="T175" s="82"/>
      <c r="U175" s="82"/>
      <c r="V175" s="82"/>
      <c r="W175" s="82"/>
      <c r="X175" s="82"/>
      <c r="Y175" s="82"/>
      <c r="Z175" s="82"/>
      <c r="AA175" s="82"/>
      <c r="AB175" s="82"/>
      <c r="AC175" s="82"/>
      <c r="AD175" s="82"/>
      <c r="AE175" s="82"/>
      <c r="AF175" s="82"/>
      <c r="AG175" s="82"/>
      <c r="AH175" s="82"/>
      <c r="AI175" s="82"/>
      <c r="AJ175" s="82">
        <f>'[1]Bewertung Kolloquium'!A34</f>
        <v>0</v>
      </c>
      <c r="AK175" s="82">
        <f>'[1]Bewertung Kolloquium'!A34</f>
        <v>0</v>
      </c>
      <c r="AL175" s="82" t="e">
        <f>IF('[1]Bewertung Kolloquium'!F34='[1]Bewertung Kolloquium'!$C$9,'[1]Bewertung Kolloquium'!$C34,IF('[1]Bewertung Kolloquium'!F34='[1]Bewertung Kolloquium'!$D$9,'[1]Bewertung Kolloquium'!$D34,IF('[1]Bewertung Kolloquium'!F34='[1]Bewertung Kolloquium'!$E$9,'[1]Bewertung Kolloquium'!$E34,"")))</f>
        <v>#REF!</v>
      </c>
      <c r="AM175" s="83">
        <f>'[1]Bewertung Kolloquium'!F34</f>
        <v>0</v>
      </c>
      <c r="AN175" s="83">
        <f>'[1]Bewertung Kolloquium'!L34</f>
        <v>0</v>
      </c>
      <c r="AO175" s="82"/>
      <c r="AP175" s="82"/>
    </row>
    <row r="176" spans="14:42">
      <c r="N176" s="82"/>
      <c r="O176" s="82"/>
      <c r="P176" s="82"/>
      <c r="Q176" s="82"/>
      <c r="R176" s="82"/>
      <c r="S176" s="82"/>
      <c r="T176" s="82"/>
      <c r="U176" s="82"/>
      <c r="V176" s="82"/>
      <c r="W176" s="82"/>
      <c r="X176" s="82"/>
      <c r="Y176" s="82"/>
      <c r="Z176" s="82"/>
      <c r="AA176" s="82"/>
      <c r="AB176" s="82"/>
      <c r="AC176" s="82"/>
      <c r="AD176" s="82"/>
      <c r="AE176" s="82"/>
      <c r="AF176" s="82"/>
      <c r="AG176" s="82"/>
      <c r="AH176" s="82"/>
      <c r="AI176" s="82"/>
      <c r="AJ176" s="82">
        <f>'[1]Bewertung Kolloquium'!A35</f>
        <v>0</v>
      </c>
      <c r="AK176" s="82">
        <f>'[1]Bewertung Kolloquium'!A35</f>
        <v>0</v>
      </c>
      <c r="AL176" s="82" t="e">
        <f>IF('[1]Bewertung Kolloquium'!F35='[1]Bewertung Kolloquium'!$C$9,'[1]Bewertung Kolloquium'!$C35,IF('[1]Bewertung Kolloquium'!F35='[1]Bewertung Kolloquium'!$D$9,'[1]Bewertung Kolloquium'!$D35,IF('[1]Bewertung Kolloquium'!F35='[1]Bewertung Kolloquium'!$E$9,'[1]Bewertung Kolloquium'!$E35,"")))</f>
        <v>#REF!</v>
      </c>
      <c r="AM176" s="83">
        <f>'[1]Bewertung Kolloquium'!F35</f>
        <v>0</v>
      </c>
      <c r="AN176" s="83">
        <f>'[1]Bewertung Kolloquium'!L35</f>
        <v>0</v>
      </c>
      <c r="AO176" s="82"/>
      <c r="AP176" s="82"/>
    </row>
    <row r="177" spans="14:42">
      <c r="N177" s="82"/>
      <c r="O177" s="82"/>
      <c r="P177" s="82"/>
      <c r="Q177" s="82"/>
      <c r="R177" s="82"/>
      <c r="S177" s="82"/>
      <c r="T177" s="82"/>
      <c r="U177" s="82"/>
      <c r="V177" s="82"/>
      <c r="W177" s="82"/>
      <c r="X177" s="82"/>
      <c r="Y177" s="82"/>
      <c r="Z177" s="82"/>
      <c r="AA177" s="82"/>
      <c r="AB177" s="82"/>
      <c r="AC177" s="82"/>
      <c r="AD177" s="82"/>
      <c r="AE177" s="82"/>
      <c r="AF177" s="82"/>
      <c r="AG177" s="82"/>
      <c r="AH177" s="82"/>
      <c r="AI177" s="82"/>
      <c r="AJ177" s="82">
        <f>'[1]Bewertung Kolloquium'!A36</f>
        <v>0</v>
      </c>
      <c r="AK177" s="82">
        <f>'[1]Bewertung Kolloquium'!A36</f>
        <v>0</v>
      </c>
      <c r="AL177" s="82" t="e">
        <f>IF('[1]Bewertung Kolloquium'!F36='[1]Bewertung Kolloquium'!$C$9,'[1]Bewertung Kolloquium'!$C36,IF('[1]Bewertung Kolloquium'!F36='[1]Bewertung Kolloquium'!$D$9,'[1]Bewertung Kolloquium'!$D36,IF('[1]Bewertung Kolloquium'!F36='[1]Bewertung Kolloquium'!$E$9,'[1]Bewertung Kolloquium'!$E36,"")))</f>
        <v>#REF!</v>
      </c>
      <c r="AM177" s="83">
        <f>'[1]Bewertung Kolloquium'!F36</f>
        <v>0</v>
      </c>
      <c r="AN177" s="83">
        <f>'[1]Bewertung Kolloquium'!L36</f>
        <v>0</v>
      </c>
      <c r="AO177" s="82"/>
      <c r="AP177" s="82"/>
    </row>
    <row r="178" spans="14:42">
      <c r="N178" s="82"/>
      <c r="O178" s="82"/>
      <c r="P178" s="82"/>
      <c r="Q178" s="82"/>
      <c r="R178" s="82"/>
      <c r="S178" s="82"/>
      <c r="T178" s="82"/>
      <c r="U178" s="82"/>
      <c r="V178" s="82"/>
      <c r="W178" s="82"/>
      <c r="X178" s="82"/>
      <c r="Y178" s="82"/>
      <c r="Z178" s="82"/>
      <c r="AA178" s="82"/>
      <c r="AB178" s="82"/>
      <c r="AC178" s="82"/>
      <c r="AD178" s="82"/>
      <c r="AE178" s="82"/>
      <c r="AF178" s="82"/>
      <c r="AG178" s="82"/>
      <c r="AH178" s="82"/>
      <c r="AI178" s="82"/>
      <c r="AJ178" s="82">
        <f>'[1]Bewertung Kolloquium'!A37</f>
        <v>0</v>
      </c>
      <c r="AK178" s="82">
        <f>'[1]Bewertung Kolloquium'!A37</f>
        <v>0</v>
      </c>
      <c r="AL178" s="82" t="e">
        <f>IF('[1]Bewertung Kolloquium'!F37='[1]Bewertung Kolloquium'!$C$9,'[1]Bewertung Kolloquium'!$C37,IF('[1]Bewertung Kolloquium'!F37='[1]Bewertung Kolloquium'!$D$9,'[1]Bewertung Kolloquium'!$D37,IF('[1]Bewertung Kolloquium'!F37='[1]Bewertung Kolloquium'!$E$9,'[1]Bewertung Kolloquium'!$E37,"")))</f>
        <v>#REF!</v>
      </c>
      <c r="AM178" s="83">
        <f>'[1]Bewertung Kolloquium'!F37</f>
        <v>0</v>
      </c>
      <c r="AN178" s="83">
        <f>'[1]Bewertung Kolloquium'!L37</f>
        <v>0</v>
      </c>
      <c r="AO178" s="82"/>
      <c r="AP178" s="82"/>
    </row>
    <row r="179" spans="14:42">
      <c r="N179" s="82"/>
      <c r="O179" s="82"/>
      <c r="P179" s="82"/>
      <c r="Q179" s="82"/>
      <c r="R179" s="82"/>
      <c r="S179" s="82"/>
      <c r="T179" s="82"/>
      <c r="U179" s="82"/>
      <c r="V179" s="82"/>
      <c r="W179" s="82"/>
      <c r="X179" s="82"/>
      <c r="Y179" s="82"/>
      <c r="Z179" s="82"/>
      <c r="AA179" s="82"/>
      <c r="AB179" s="82"/>
      <c r="AC179" s="82"/>
      <c r="AD179" s="82"/>
      <c r="AE179" s="82"/>
      <c r="AF179" s="82"/>
      <c r="AG179" s="82"/>
      <c r="AH179" s="82"/>
      <c r="AI179" s="82"/>
      <c r="AJ179" s="82">
        <f>'[1]Bewertung Kolloquium'!A38</f>
        <v>0</v>
      </c>
      <c r="AK179" s="82">
        <f>'[1]Bewertung Kolloquium'!A38</f>
        <v>0</v>
      </c>
      <c r="AL179" s="82" t="e">
        <f>IF('[1]Bewertung Kolloquium'!F38='[1]Bewertung Kolloquium'!$C$9,'[1]Bewertung Kolloquium'!$C38,IF('[1]Bewertung Kolloquium'!F38='[1]Bewertung Kolloquium'!$D$9,'[1]Bewertung Kolloquium'!$D38,IF('[1]Bewertung Kolloquium'!F38='[1]Bewertung Kolloquium'!$E$9,'[1]Bewertung Kolloquium'!$E38,"")))</f>
        <v>#REF!</v>
      </c>
      <c r="AM179" s="83">
        <f>'[1]Bewertung Kolloquium'!F38</f>
        <v>0</v>
      </c>
      <c r="AN179" s="83">
        <f>'[1]Bewertung Kolloquium'!L38</f>
        <v>0</v>
      </c>
      <c r="AO179" s="82"/>
      <c r="AP179" s="82"/>
    </row>
    <row r="180" spans="14:42">
      <c r="N180" s="82"/>
      <c r="O180" s="82"/>
      <c r="P180" s="82"/>
      <c r="Q180" s="82"/>
      <c r="R180" s="82"/>
      <c r="S180" s="82"/>
      <c r="T180" s="82"/>
      <c r="U180" s="82"/>
      <c r="V180" s="82"/>
      <c r="W180" s="82"/>
      <c r="X180" s="82"/>
      <c r="Y180" s="82"/>
      <c r="Z180" s="82"/>
      <c r="AA180" s="82"/>
      <c r="AB180" s="82"/>
      <c r="AC180" s="82"/>
      <c r="AD180" s="82"/>
      <c r="AE180" s="82"/>
      <c r="AF180" s="82"/>
      <c r="AG180" s="82"/>
      <c r="AH180" s="82"/>
      <c r="AI180" s="82"/>
      <c r="AJ180" s="82">
        <f>'[1]Bewertung Kolloquium'!A39</f>
        <v>0</v>
      </c>
      <c r="AK180" s="82">
        <f>'[1]Bewertung Kolloquium'!A39</f>
        <v>0</v>
      </c>
      <c r="AL180" s="82" t="e">
        <f>IF('[1]Bewertung Kolloquium'!F39='[1]Bewertung Kolloquium'!$C$9,'[1]Bewertung Kolloquium'!$C39,IF('[1]Bewertung Kolloquium'!F39='[1]Bewertung Kolloquium'!$D$9,'[1]Bewertung Kolloquium'!$D39,IF('[1]Bewertung Kolloquium'!F39='[1]Bewertung Kolloquium'!$E$9,'[1]Bewertung Kolloquium'!$E39,"")))</f>
        <v>#REF!</v>
      </c>
      <c r="AM180" s="83">
        <f>'[1]Bewertung Kolloquium'!F39</f>
        <v>0</v>
      </c>
      <c r="AN180" s="83">
        <f>'[1]Bewertung Kolloquium'!L39</f>
        <v>0</v>
      </c>
      <c r="AO180" s="82"/>
      <c r="AP180" s="82"/>
    </row>
    <row r="181" spans="14:42">
      <c r="N181" s="82"/>
      <c r="O181" s="82"/>
      <c r="P181" s="82"/>
      <c r="Q181" s="82"/>
      <c r="R181" s="82"/>
      <c r="S181" s="82"/>
      <c r="T181" s="82"/>
      <c r="U181" s="82"/>
      <c r="V181" s="82"/>
      <c r="W181" s="82"/>
      <c r="X181" s="82"/>
      <c r="Y181" s="82"/>
      <c r="Z181" s="82"/>
      <c r="AA181" s="82"/>
      <c r="AB181" s="82"/>
      <c r="AC181" s="82"/>
      <c r="AD181" s="82"/>
      <c r="AE181" s="82"/>
      <c r="AF181" s="82"/>
      <c r="AG181" s="82"/>
      <c r="AH181" s="82"/>
      <c r="AI181" s="82"/>
      <c r="AJ181" s="82">
        <f>'[1]Bewertung Kolloquium'!A40</f>
        <v>0</v>
      </c>
      <c r="AK181" s="82">
        <f>'[1]Bewertung Kolloquium'!A40</f>
        <v>0</v>
      </c>
      <c r="AL181" s="82" t="e">
        <f>IF('[1]Bewertung Kolloquium'!F40='[1]Bewertung Kolloquium'!$C$9,'[1]Bewertung Kolloquium'!$C40,IF('[1]Bewertung Kolloquium'!F40='[1]Bewertung Kolloquium'!$D$9,'[1]Bewertung Kolloquium'!$D40,IF('[1]Bewertung Kolloquium'!F40='[1]Bewertung Kolloquium'!$E$9,'[1]Bewertung Kolloquium'!$E40,"")))</f>
        <v>#REF!</v>
      </c>
      <c r="AM181" s="83">
        <f>'[1]Bewertung Kolloquium'!F40</f>
        <v>0</v>
      </c>
      <c r="AN181" s="83">
        <f>'[1]Bewertung Kolloquium'!L40</f>
        <v>0</v>
      </c>
      <c r="AO181" s="82"/>
      <c r="AP181" s="82"/>
    </row>
    <row r="182" spans="14:42">
      <c r="N182" s="82"/>
      <c r="O182" s="82"/>
      <c r="P182" s="82"/>
      <c r="Q182" s="82"/>
      <c r="R182" s="82"/>
      <c r="S182" s="82"/>
      <c r="T182" s="82"/>
      <c r="U182" s="82"/>
      <c r="V182" s="82"/>
      <c r="W182" s="82"/>
      <c r="X182" s="82"/>
      <c r="Y182" s="82"/>
      <c r="Z182" s="82"/>
      <c r="AA182" s="82"/>
      <c r="AB182" s="82"/>
      <c r="AC182" s="82"/>
      <c r="AD182" s="82"/>
      <c r="AE182" s="82"/>
      <c r="AF182" s="82"/>
      <c r="AG182" s="82"/>
      <c r="AH182" s="82"/>
      <c r="AI182" s="82"/>
      <c r="AJ182" s="82">
        <f>'[1]Bewertung Kolloquium'!A41</f>
        <v>0</v>
      </c>
      <c r="AK182" s="82">
        <f>'[1]Bewertung Kolloquium'!A41</f>
        <v>0</v>
      </c>
      <c r="AL182" s="82" t="e">
        <f>IF('[1]Bewertung Kolloquium'!F41='[1]Bewertung Kolloquium'!$C$9,'[1]Bewertung Kolloquium'!$C41,IF('[1]Bewertung Kolloquium'!F41='[1]Bewertung Kolloquium'!$D$9,'[1]Bewertung Kolloquium'!$D41,IF('[1]Bewertung Kolloquium'!F41='[1]Bewertung Kolloquium'!$E$9,'[1]Bewertung Kolloquium'!$E41,"")))</f>
        <v>#REF!</v>
      </c>
      <c r="AM182" s="83">
        <f>'[1]Bewertung Kolloquium'!F41</f>
        <v>0</v>
      </c>
      <c r="AN182" s="83">
        <f>'[1]Bewertung Kolloquium'!L41</f>
        <v>0</v>
      </c>
      <c r="AO182" s="82"/>
      <c r="AP182" s="82"/>
    </row>
    <row r="183" spans="14:42">
      <c r="N183" s="82"/>
      <c r="O183" s="82"/>
      <c r="P183" s="82"/>
      <c r="Q183" s="82"/>
      <c r="R183" s="82"/>
      <c r="S183" s="82"/>
      <c r="T183" s="82"/>
      <c r="U183" s="82"/>
      <c r="V183" s="82"/>
      <c r="W183" s="82"/>
      <c r="X183" s="82"/>
      <c r="Y183" s="82"/>
      <c r="Z183" s="82"/>
      <c r="AA183" s="82"/>
      <c r="AB183" s="82"/>
      <c r="AC183" s="82"/>
      <c r="AD183" s="82"/>
      <c r="AE183" s="82"/>
      <c r="AF183" s="82"/>
      <c r="AG183" s="82"/>
      <c r="AH183" s="82"/>
      <c r="AI183" s="82"/>
      <c r="AJ183" s="82">
        <f>'[1]Bewertung Kolloquium'!A42</f>
        <v>0</v>
      </c>
      <c r="AK183" s="82">
        <f>'[1]Bewertung Kolloquium'!A42</f>
        <v>0</v>
      </c>
      <c r="AL183" s="82" t="e">
        <f>IF('[1]Bewertung Kolloquium'!F42='[1]Bewertung Kolloquium'!$C$9,'[1]Bewertung Kolloquium'!$C42,IF('[1]Bewertung Kolloquium'!F42='[1]Bewertung Kolloquium'!$D$9,'[1]Bewertung Kolloquium'!$D42,IF('[1]Bewertung Kolloquium'!F42='[1]Bewertung Kolloquium'!$E$9,'[1]Bewertung Kolloquium'!$E42,"")))</f>
        <v>#REF!</v>
      </c>
      <c r="AM183" s="83">
        <f>'[1]Bewertung Kolloquium'!F42</f>
        <v>0</v>
      </c>
      <c r="AN183" s="83">
        <f>'[1]Bewertung Kolloquium'!L42</f>
        <v>0</v>
      </c>
      <c r="AO183" s="82"/>
      <c r="AP183" s="82"/>
    </row>
    <row r="184" spans="14:42">
      <c r="N184" s="82"/>
      <c r="O184" s="82"/>
      <c r="P184" s="82"/>
      <c r="Q184" s="82"/>
      <c r="R184" s="82"/>
      <c r="S184" s="82"/>
      <c r="T184" s="82"/>
      <c r="U184" s="82"/>
      <c r="V184" s="82"/>
      <c r="W184" s="82"/>
      <c r="X184" s="82"/>
      <c r="Y184" s="82"/>
      <c r="Z184" s="82"/>
      <c r="AA184" s="82"/>
      <c r="AB184" s="82"/>
      <c r="AC184" s="82"/>
      <c r="AD184" s="82"/>
      <c r="AE184" s="82"/>
      <c r="AF184" s="82"/>
      <c r="AG184" s="82"/>
      <c r="AH184" s="82"/>
      <c r="AI184" s="82"/>
      <c r="AJ184" s="82">
        <f>'[1]Bewertung Kolloquium'!A43</f>
        <v>0</v>
      </c>
      <c r="AK184" s="82">
        <f>'[1]Bewertung Kolloquium'!A43</f>
        <v>0</v>
      </c>
      <c r="AL184" s="82" t="e">
        <f>IF('[1]Bewertung Kolloquium'!F43='[1]Bewertung Kolloquium'!$C$9,'[1]Bewertung Kolloquium'!$C43,IF('[1]Bewertung Kolloquium'!F43='[1]Bewertung Kolloquium'!$D$9,'[1]Bewertung Kolloquium'!$D43,IF('[1]Bewertung Kolloquium'!F43='[1]Bewertung Kolloquium'!$E$9,'[1]Bewertung Kolloquium'!$E43,"")))</f>
        <v>#REF!</v>
      </c>
      <c r="AM184" s="83">
        <f>'[1]Bewertung Kolloquium'!F43</f>
        <v>0</v>
      </c>
      <c r="AN184" s="83">
        <f>'[1]Bewertung Kolloquium'!L43</f>
        <v>0</v>
      </c>
      <c r="AO184" s="82"/>
      <c r="AP184" s="82"/>
    </row>
    <row r="185" spans="14:42">
      <c r="N185" s="82"/>
      <c r="O185" s="82"/>
      <c r="P185" s="82"/>
      <c r="Q185" s="82"/>
      <c r="R185" s="82"/>
      <c r="S185" s="82"/>
      <c r="T185" s="82"/>
      <c r="U185" s="82"/>
      <c r="V185" s="82"/>
      <c r="W185" s="82"/>
      <c r="X185" s="82"/>
      <c r="Y185" s="82"/>
      <c r="Z185" s="82"/>
      <c r="AA185" s="82"/>
      <c r="AB185" s="82"/>
      <c r="AC185" s="82"/>
      <c r="AD185" s="82"/>
      <c r="AE185" s="82"/>
      <c r="AF185" s="82"/>
      <c r="AG185" s="82"/>
      <c r="AH185" s="82"/>
      <c r="AI185" s="82"/>
      <c r="AJ185" s="82">
        <f>'[1]Bewertung Kolloquium'!A44</f>
        <v>0</v>
      </c>
      <c r="AK185" s="82">
        <f>'[1]Bewertung Kolloquium'!A44</f>
        <v>0</v>
      </c>
      <c r="AL185" s="82" t="e">
        <f>IF('[1]Bewertung Kolloquium'!F44='[1]Bewertung Kolloquium'!$C$9,'[1]Bewertung Kolloquium'!$C44,IF('[1]Bewertung Kolloquium'!F44='[1]Bewertung Kolloquium'!$D$9,'[1]Bewertung Kolloquium'!$D44,IF('[1]Bewertung Kolloquium'!F44='[1]Bewertung Kolloquium'!$E$9,'[1]Bewertung Kolloquium'!$E44,"")))</f>
        <v>#REF!</v>
      </c>
      <c r="AM185" s="83">
        <f>'[1]Bewertung Kolloquium'!F44</f>
        <v>0</v>
      </c>
      <c r="AN185" s="83">
        <f>'[1]Bewertung Kolloquium'!L44</f>
        <v>0</v>
      </c>
      <c r="AO185" s="82"/>
      <c r="AP185" s="82"/>
    </row>
    <row r="186" spans="14:42">
      <c r="N186" s="82"/>
      <c r="O186" s="82"/>
      <c r="P186" s="82"/>
      <c r="Q186" s="82"/>
      <c r="R186" s="82"/>
      <c r="S186" s="82"/>
      <c r="T186" s="82"/>
      <c r="U186" s="82"/>
      <c r="V186" s="82"/>
      <c r="W186" s="82"/>
      <c r="X186" s="82"/>
      <c r="Y186" s="82"/>
      <c r="Z186" s="82"/>
      <c r="AA186" s="82"/>
      <c r="AB186" s="82"/>
      <c r="AC186" s="82"/>
      <c r="AD186" s="82"/>
      <c r="AE186" s="82"/>
      <c r="AF186" s="82"/>
      <c r="AG186" s="82"/>
      <c r="AH186" s="82"/>
      <c r="AI186" s="82"/>
      <c r="AJ186" s="82">
        <f>'[1]Bewertung Kolloquium'!A45</f>
        <v>0</v>
      </c>
      <c r="AK186" s="82">
        <f>'[1]Bewertung Kolloquium'!A45</f>
        <v>0</v>
      </c>
      <c r="AL186" s="82" t="e">
        <f>IF('[1]Bewertung Kolloquium'!F45='[1]Bewertung Kolloquium'!$C$9,'[1]Bewertung Kolloquium'!$C45,IF('[1]Bewertung Kolloquium'!F45='[1]Bewertung Kolloquium'!$D$9,'[1]Bewertung Kolloquium'!$D45,IF('[1]Bewertung Kolloquium'!F45='[1]Bewertung Kolloquium'!$E$9,'[1]Bewertung Kolloquium'!$E45,"")))</f>
        <v>#REF!</v>
      </c>
      <c r="AM186" s="83">
        <f>'[1]Bewertung Kolloquium'!F45</f>
        <v>0</v>
      </c>
      <c r="AN186" s="83">
        <f>'[1]Bewertung Kolloquium'!L45</f>
        <v>0</v>
      </c>
      <c r="AO186" s="82"/>
      <c r="AP186" s="82"/>
    </row>
    <row r="187" spans="14:42">
      <c r="N187" s="82"/>
      <c r="O187" s="82"/>
      <c r="P187" s="82"/>
      <c r="Q187" s="82"/>
      <c r="R187" s="82"/>
      <c r="S187" s="82"/>
      <c r="T187" s="82"/>
      <c r="U187" s="82"/>
      <c r="V187" s="82"/>
      <c r="W187" s="82"/>
      <c r="X187" s="82"/>
      <c r="Y187" s="82"/>
      <c r="Z187" s="82"/>
      <c r="AA187" s="82"/>
      <c r="AB187" s="82"/>
      <c r="AC187" s="82"/>
      <c r="AD187" s="82"/>
      <c r="AE187" s="82"/>
      <c r="AF187" s="82"/>
      <c r="AG187" s="82"/>
      <c r="AH187" s="82"/>
      <c r="AI187" s="82"/>
      <c r="AJ187" s="82">
        <f>'[1]Bewertung Kolloquium'!A46</f>
        <v>0</v>
      </c>
      <c r="AK187" s="82">
        <f>'[1]Bewertung Kolloquium'!A46</f>
        <v>0</v>
      </c>
      <c r="AL187" s="82" t="e">
        <f>IF('[1]Bewertung Kolloquium'!F46='[1]Bewertung Kolloquium'!$C$9,'[1]Bewertung Kolloquium'!$C46,IF('[1]Bewertung Kolloquium'!F46='[1]Bewertung Kolloquium'!$D$9,'[1]Bewertung Kolloquium'!$D46,IF('[1]Bewertung Kolloquium'!F46='[1]Bewertung Kolloquium'!$E$9,'[1]Bewertung Kolloquium'!$E46,"")))</f>
        <v>#REF!</v>
      </c>
      <c r="AM187" s="83">
        <f>'[1]Bewertung Kolloquium'!F46</f>
        <v>0</v>
      </c>
      <c r="AN187" s="83">
        <f>'[1]Bewertung Kolloquium'!L46</f>
        <v>0</v>
      </c>
      <c r="AO187" s="82"/>
      <c r="AP187" s="82"/>
    </row>
    <row r="188" spans="14:42">
      <c r="N188" s="82"/>
      <c r="O188" s="82"/>
      <c r="P188" s="82"/>
      <c r="Q188" s="82"/>
      <c r="R188" s="82"/>
      <c r="S188" s="82"/>
      <c r="T188" s="82"/>
      <c r="U188" s="82"/>
      <c r="V188" s="82"/>
      <c r="W188" s="82"/>
      <c r="X188" s="82"/>
      <c r="Y188" s="82"/>
      <c r="Z188" s="82"/>
      <c r="AA188" s="82"/>
      <c r="AB188" s="82"/>
      <c r="AC188" s="82"/>
      <c r="AD188" s="82"/>
      <c r="AE188" s="82"/>
      <c r="AF188" s="82"/>
      <c r="AG188" s="82"/>
      <c r="AH188" s="82"/>
      <c r="AI188" s="82"/>
      <c r="AJ188" s="82">
        <f>'[1]Bewertung Kolloquium'!A47</f>
        <v>0</v>
      </c>
      <c r="AK188" s="82">
        <f>'[1]Bewertung Kolloquium'!A47</f>
        <v>0</v>
      </c>
      <c r="AL188" s="82" t="e">
        <f>IF('[1]Bewertung Kolloquium'!F47='[1]Bewertung Kolloquium'!$C$9,'[1]Bewertung Kolloquium'!$C47,IF('[1]Bewertung Kolloquium'!F47='[1]Bewertung Kolloquium'!$D$9,'[1]Bewertung Kolloquium'!$D47,IF('[1]Bewertung Kolloquium'!F47='[1]Bewertung Kolloquium'!$E$9,'[1]Bewertung Kolloquium'!$E47,"")))</f>
        <v>#REF!</v>
      </c>
      <c r="AM188" s="83">
        <f>'[1]Bewertung Kolloquium'!F47</f>
        <v>0</v>
      </c>
      <c r="AN188" s="83">
        <f>'[1]Bewertung Kolloquium'!L47</f>
        <v>0</v>
      </c>
      <c r="AO188" s="82"/>
      <c r="AP188" s="82"/>
    </row>
    <row r="189" spans="14:42">
      <c r="N189" s="82"/>
      <c r="O189" s="82"/>
      <c r="P189" s="82"/>
      <c r="Q189" s="82"/>
      <c r="R189" s="82"/>
      <c r="S189" s="82"/>
      <c r="T189" s="82"/>
      <c r="U189" s="82"/>
      <c r="V189" s="82"/>
      <c r="W189" s="82"/>
      <c r="X189" s="82"/>
      <c r="Y189" s="82"/>
      <c r="Z189" s="82"/>
      <c r="AA189" s="82"/>
      <c r="AB189" s="82"/>
      <c r="AC189" s="82"/>
      <c r="AD189" s="82"/>
      <c r="AE189" s="82"/>
      <c r="AF189" s="82"/>
      <c r="AG189" s="82"/>
      <c r="AH189" s="82"/>
      <c r="AI189" s="82"/>
      <c r="AJ189" s="82">
        <f>'[1]Bewertung Kolloquium'!A48</f>
        <v>0</v>
      </c>
      <c r="AK189" s="82">
        <f>'[1]Bewertung Kolloquium'!A48</f>
        <v>0</v>
      </c>
      <c r="AL189" s="82" t="e">
        <f>IF('[1]Bewertung Kolloquium'!F48='[1]Bewertung Kolloquium'!$C$9,'[1]Bewertung Kolloquium'!$C48,IF('[1]Bewertung Kolloquium'!F48='[1]Bewertung Kolloquium'!$D$9,'[1]Bewertung Kolloquium'!$D48,IF('[1]Bewertung Kolloquium'!F48='[1]Bewertung Kolloquium'!$E$9,'[1]Bewertung Kolloquium'!$E48,"")))</f>
        <v>#REF!</v>
      </c>
      <c r="AM189" s="83">
        <f>'[1]Bewertung Kolloquium'!F48</f>
        <v>0</v>
      </c>
      <c r="AN189" s="83">
        <f>'[1]Bewertung Kolloquium'!L48</f>
        <v>0</v>
      </c>
      <c r="AO189" s="82"/>
      <c r="AP189" s="82"/>
    </row>
    <row r="190" spans="14:42">
      <c r="N190" s="82"/>
      <c r="O190" s="82"/>
      <c r="P190" s="82"/>
      <c r="Q190" s="82"/>
      <c r="R190" s="82"/>
      <c r="S190" s="82"/>
      <c r="T190" s="82"/>
      <c r="U190" s="82"/>
      <c r="V190" s="82"/>
      <c r="W190" s="82"/>
      <c r="X190" s="82"/>
      <c r="Y190" s="82"/>
      <c r="Z190" s="82"/>
      <c r="AA190" s="82"/>
      <c r="AB190" s="82"/>
      <c r="AC190" s="82"/>
      <c r="AD190" s="82"/>
      <c r="AE190" s="82"/>
      <c r="AF190" s="82"/>
      <c r="AG190" s="82"/>
      <c r="AH190" s="82"/>
      <c r="AI190" s="82"/>
      <c r="AJ190" s="82">
        <f>'[1]Bewertung Kolloquium'!A49</f>
        <v>0</v>
      </c>
      <c r="AK190" s="82">
        <f>'[1]Bewertung Kolloquium'!A49</f>
        <v>0</v>
      </c>
      <c r="AL190" s="82" t="e">
        <f>IF('[1]Bewertung Kolloquium'!F49='[1]Bewertung Kolloquium'!$C$9,'[1]Bewertung Kolloquium'!$C49,IF('[1]Bewertung Kolloquium'!F49='[1]Bewertung Kolloquium'!$D$9,'[1]Bewertung Kolloquium'!$D49,IF('[1]Bewertung Kolloquium'!F49='[1]Bewertung Kolloquium'!$E$9,'[1]Bewertung Kolloquium'!$E49,"")))</f>
        <v>#REF!</v>
      </c>
      <c r="AM190" s="83">
        <f>'[1]Bewertung Kolloquium'!F49</f>
        <v>0</v>
      </c>
      <c r="AN190" s="83">
        <f>'[1]Bewertung Kolloquium'!L49</f>
        <v>0</v>
      </c>
      <c r="AO190" s="82"/>
      <c r="AP190" s="82"/>
    </row>
    <row r="191" spans="14:42">
      <c r="N191" s="82"/>
      <c r="O191" s="82"/>
      <c r="P191" s="82"/>
      <c r="Q191" s="82"/>
      <c r="R191" s="82"/>
      <c r="S191" s="82"/>
      <c r="T191" s="82"/>
      <c r="U191" s="82"/>
      <c r="V191" s="82"/>
      <c r="W191" s="82"/>
      <c r="X191" s="82"/>
      <c r="Y191" s="82"/>
      <c r="Z191" s="82"/>
      <c r="AA191" s="82"/>
      <c r="AB191" s="82"/>
      <c r="AC191" s="82"/>
      <c r="AD191" s="82"/>
      <c r="AE191" s="82"/>
      <c r="AF191" s="82"/>
      <c r="AG191" s="82"/>
      <c r="AH191" s="82"/>
      <c r="AI191" s="82"/>
      <c r="AJ191" s="82">
        <f>'[1]Bewertung Kolloquium'!A50</f>
        <v>0</v>
      </c>
      <c r="AK191" s="82">
        <f>'[1]Bewertung Kolloquium'!A50</f>
        <v>0</v>
      </c>
      <c r="AL191" s="82" t="e">
        <f>IF('[1]Bewertung Kolloquium'!F50='[1]Bewertung Kolloquium'!$C$9,'[1]Bewertung Kolloquium'!$C50,IF('[1]Bewertung Kolloquium'!F50='[1]Bewertung Kolloquium'!$D$9,'[1]Bewertung Kolloquium'!$D50,IF('[1]Bewertung Kolloquium'!F50='[1]Bewertung Kolloquium'!$E$9,'[1]Bewertung Kolloquium'!$E50,"")))</f>
        <v>#REF!</v>
      </c>
      <c r="AM191" s="83">
        <f>'[1]Bewertung Kolloquium'!F50</f>
        <v>0</v>
      </c>
      <c r="AN191" s="83">
        <f>'[1]Bewertung Kolloquium'!L50</f>
        <v>0</v>
      </c>
      <c r="AO191" s="82"/>
      <c r="AP191" s="82"/>
    </row>
    <row r="192" spans="14:42">
      <c r="N192" s="82"/>
      <c r="O192" s="82"/>
      <c r="P192" s="82"/>
      <c r="Q192" s="82"/>
      <c r="R192" s="82"/>
      <c r="S192" s="82"/>
      <c r="T192" s="82"/>
      <c r="U192" s="82"/>
      <c r="V192" s="82"/>
      <c r="W192" s="82"/>
      <c r="X192" s="82"/>
      <c r="Y192" s="82"/>
      <c r="Z192" s="82"/>
      <c r="AA192" s="82"/>
      <c r="AB192" s="82"/>
      <c r="AC192" s="82"/>
      <c r="AD192" s="82"/>
      <c r="AE192" s="82"/>
      <c r="AF192" s="82"/>
      <c r="AG192" s="82"/>
      <c r="AH192" s="82"/>
      <c r="AI192" s="82"/>
      <c r="AJ192" s="82">
        <f>'[1]Bewertung Kolloquium'!A51</f>
        <v>0</v>
      </c>
      <c r="AK192" s="82">
        <f>'[1]Bewertung Kolloquium'!A51</f>
        <v>0</v>
      </c>
      <c r="AL192" s="82" t="e">
        <f>IF('[1]Bewertung Kolloquium'!F51='[1]Bewertung Kolloquium'!$C$9,'[1]Bewertung Kolloquium'!$C51,IF('[1]Bewertung Kolloquium'!F51='[1]Bewertung Kolloquium'!$D$9,'[1]Bewertung Kolloquium'!$D51,IF('[1]Bewertung Kolloquium'!F51='[1]Bewertung Kolloquium'!$E$9,'[1]Bewertung Kolloquium'!$E51,"")))</f>
        <v>#REF!</v>
      </c>
      <c r="AM192" s="83">
        <f>'[1]Bewertung Kolloquium'!F51</f>
        <v>0</v>
      </c>
      <c r="AN192" s="83">
        <f>'[1]Bewertung Kolloquium'!L51</f>
        <v>0</v>
      </c>
      <c r="AO192" s="82"/>
      <c r="AP192" s="82"/>
    </row>
    <row r="193" spans="14:42">
      <c r="N193" s="82"/>
      <c r="O193" s="82"/>
      <c r="P193" s="82"/>
      <c r="Q193" s="82"/>
      <c r="R193" s="82"/>
      <c r="S193" s="82"/>
      <c r="T193" s="82"/>
      <c r="U193" s="82"/>
      <c r="V193" s="82"/>
      <c r="W193" s="82"/>
      <c r="X193" s="82"/>
      <c r="Y193" s="82"/>
      <c r="Z193" s="82"/>
      <c r="AA193" s="82"/>
      <c r="AB193" s="82"/>
      <c r="AC193" s="82"/>
      <c r="AD193" s="82"/>
      <c r="AE193" s="82"/>
      <c r="AF193" s="82"/>
      <c r="AG193" s="82"/>
      <c r="AH193" s="82"/>
      <c r="AI193" s="82"/>
      <c r="AJ193" s="82">
        <f>'[1]Bewertung Kolloquium'!A52</f>
        <v>0</v>
      </c>
      <c r="AK193" s="82">
        <f>'[1]Bewertung Kolloquium'!A52</f>
        <v>0</v>
      </c>
      <c r="AL193" s="82" t="e">
        <f>IF('[1]Bewertung Kolloquium'!F52='[1]Bewertung Kolloquium'!$C$9,'[1]Bewertung Kolloquium'!$C52,IF('[1]Bewertung Kolloquium'!F52='[1]Bewertung Kolloquium'!$D$9,'[1]Bewertung Kolloquium'!$D52,IF('[1]Bewertung Kolloquium'!F52='[1]Bewertung Kolloquium'!$E$9,'[1]Bewertung Kolloquium'!$E52,"")))</f>
        <v>#REF!</v>
      </c>
      <c r="AM193" s="83">
        <f>'[1]Bewertung Kolloquium'!F52</f>
        <v>0</v>
      </c>
      <c r="AN193" s="83">
        <f>'[1]Bewertung Kolloquium'!L52</f>
        <v>0</v>
      </c>
      <c r="AO193" s="82"/>
      <c r="AP193" s="82"/>
    </row>
    <row r="194" spans="14:42">
      <c r="N194" s="82"/>
      <c r="O194" s="82"/>
      <c r="P194" s="82"/>
      <c r="Q194" s="82"/>
      <c r="R194" s="82"/>
      <c r="S194" s="82"/>
      <c r="T194" s="82"/>
      <c r="U194" s="82"/>
      <c r="V194" s="82"/>
      <c r="W194" s="82"/>
      <c r="X194" s="82"/>
      <c r="Y194" s="82"/>
      <c r="Z194" s="82"/>
      <c r="AA194" s="82"/>
      <c r="AB194" s="82"/>
      <c r="AC194" s="82"/>
      <c r="AD194" s="82"/>
      <c r="AE194" s="82"/>
      <c r="AF194" s="82"/>
      <c r="AG194" s="82"/>
      <c r="AH194" s="82"/>
      <c r="AI194" s="82"/>
      <c r="AJ194" s="82">
        <f>'[1]Bewertung Kolloquium'!A53</f>
        <v>0</v>
      </c>
      <c r="AK194" s="82">
        <f>'[1]Bewertung Kolloquium'!A53</f>
        <v>0</v>
      </c>
      <c r="AL194" s="82" t="e">
        <f>IF('[1]Bewertung Kolloquium'!F53='[1]Bewertung Kolloquium'!$C$9,'[1]Bewertung Kolloquium'!$C53,IF('[1]Bewertung Kolloquium'!F53='[1]Bewertung Kolloquium'!$D$9,'[1]Bewertung Kolloquium'!$D53,IF('[1]Bewertung Kolloquium'!F53='[1]Bewertung Kolloquium'!$E$9,'[1]Bewertung Kolloquium'!$E53,"")))</f>
        <v>#REF!</v>
      </c>
      <c r="AM194" s="83">
        <f>'[1]Bewertung Kolloquium'!F53</f>
        <v>0</v>
      </c>
      <c r="AN194" s="83">
        <f>'[1]Bewertung Kolloquium'!L53</f>
        <v>0</v>
      </c>
      <c r="AO194" s="82"/>
      <c r="AP194" s="82"/>
    </row>
    <row r="195" spans="14:42">
      <c r="N195" s="82"/>
      <c r="O195" s="82"/>
      <c r="P195" s="82"/>
      <c r="Q195" s="82"/>
      <c r="R195" s="82"/>
      <c r="S195" s="82"/>
      <c r="T195" s="82"/>
      <c r="U195" s="82"/>
      <c r="V195" s="82"/>
      <c r="W195" s="82"/>
      <c r="X195" s="82"/>
      <c r="Y195" s="82"/>
      <c r="Z195" s="82"/>
      <c r="AA195" s="82"/>
      <c r="AB195" s="82"/>
      <c r="AC195" s="82"/>
      <c r="AD195" s="82"/>
      <c r="AE195" s="82"/>
      <c r="AF195" s="82"/>
      <c r="AG195" s="82"/>
      <c r="AH195" s="82"/>
      <c r="AI195" s="82"/>
      <c r="AJ195" s="82">
        <f>'[1]Bewertung Kolloquium'!A54</f>
        <v>0</v>
      </c>
      <c r="AK195" s="82">
        <f>'[1]Bewertung Kolloquium'!A54</f>
        <v>0</v>
      </c>
      <c r="AL195" s="82" t="e">
        <f>IF('[1]Bewertung Kolloquium'!F54='[1]Bewertung Kolloquium'!$C$9,'[1]Bewertung Kolloquium'!$C54,IF('[1]Bewertung Kolloquium'!F54='[1]Bewertung Kolloquium'!$D$9,'[1]Bewertung Kolloquium'!$D54,IF('[1]Bewertung Kolloquium'!F54='[1]Bewertung Kolloquium'!$E$9,'[1]Bewertung Kolloquium'!$E54,"")))</f>
        <v>#REF!</v>
      </c>
      <c r="AM195" s="83">
        <f>'[1]Bewertung Kolloquium'!F54</f>
        <v>0</v>
      </c>
      <c r="AN195" s="83">
        <f>'[1]Bewertung Kolloquium'!L54</f>
        <v>0</v>
      </c>
      <c r="AO195" s="82"/>
      <c r="AP195" s="82"/>
    </row>
    <row r="196" spans="14:42">
      <c r="N196" s="82"/>
      <c r="O196" s="82"/>
      <c r="P196" s="82"/>
      <c r="Q196" s="82"/>
      <c r="R196" s="82"/>
      <c r="S196" s="82"/>
      <c r="T196" s="82"/>
      <c r="U196" s="82"/>
      <c r="V196" s="82"/>
      <c r="W196" s="82"/>
      <c r="X196" s="82"/>
      <c r="Y196" s="82"/>
      <c r="Z196" s="82"/>
      <c r="AA196" s="82"/>
      <c r="AB196" s="82"/>
      <c r="AC196" s="82"/>
      <c r="AD196" s="82"/>
      <c r="AE196" s="82"/>
      <c r="AF196" s="82"/>
      <c r="AG196" s="82"/>
      <c r="AH196" s="82"/>
      <c r="AI196" s="82"/>
      <c r="AJ196" s="82">
        <f>'[1]Bewertung Kolloquium'!A55</f>
        <v>0</v>
      </c>
      <c r="AK196" s="82">
        <f>'[1]Bewertung Kolloquium'!A55</f>
        <v>0</v>
      </c>
      <c r="AL196" s="82" t="e">
        <f>IF('[1]Bewertung Kolloquium'!F55='[1]Bewertung Kolloquium'!$C$9,'[1]Bewertung Kolloquium'!$C55,IF('[1]Bewertung Kolloquium'!F55='[1]Bewertung Kolloquium'!$D$9,'[1]Bewertung Kolloquium'!$D55,IF('[1]Bewertung Kolloquium'!F55='[1]Bewertung Kolloquium'!$E$9,'[1]Bewertung Kolloquium'!$E55,"")))</f>
        <v>#REF!</v>
      </c>
      <c r="AM196" s="83">
        <f>'[1]Bewertung Kolloquium'!F55</f>
        <v>0</v>
      </c>
      <c r="AN196" s="83">
        <f>'[1]Bewertung Kolloquium'!L55</f>
        <v>0</v>
      </c>
      <c r="AO196" s="82"/>
      <c r="AP196" s="82"/>
    </row>
    <row r="197" spans="14:42">
      <c r="N197" s="82"/>
      <c r="O197" s="82"/>
      <c r="P197" s="82"/>
      <c r="Q197" s="82"/>
      <c r="R197" s="82"/>
      <c r="S197" s="82"/>
      <c r="T197" s="82"/>
      <c r="U197" s="82"/>
      <c r="V197" s="82"/>
      <c r="W197" s="82"/>
      <c r="X197" s="82"/>
      <c r="Y197" s="82"/>
      <c r="Z197" s="82"/>
      <c r="AA197" s="82"/>
      <c r="AB197" s="82"/>
      <c r="AC197" s="82"/>
      <c r="AD197" s="82"/>
      <c r="AE197" s="82"/>
      <c r="AF197" s="82"/>
      <c r="AG197" s="82"/>
      <c r="AH197" s="82"/>
      <c r="AI197" s="82"/>
      <c r="AJ197" s="82">
        <f>'[1]Bewertung Kolloquium'!A56</f>
        <v>0</v>
      </c>
      <c r="AK197" s="82">
        <f>'[1]Bewertung Kolloquium'!A56</f>
        <v>0</v>
      </c>
      <c r="AL197" s="82" t="e">
        <f>IF('[1]Bewertung Kolloquium'!F56='[1]Bewertung Kolloquium'!$C$9,'[1]Bewertung Kolloquium'!$C56,IF('[1]Bewertung Kolloquium'!F56='[1]Bewertung Kolloquium'!$D$9,'[1]Bewertung Kolloquium'!$D56,IF('[1]Bewertung Kolloquium'!F56='[1]Bewertung Kolloquium'!$E$9,'[1]Bewertung Kolloquium'!$E56,"")))</f>
        <v>#REF!</v>
      </c>
      <c r="AM197" s="83">
        <f>'[1]Bewertung Kolloquium'!F56</f>
        <v>0</v>
      </c>
      <c r="AN197" s="83">
        <f>'[1]Bewertung Kolloquium'!L56</f>
        <v>0</v>
      </c>
      <c r="AO197" s="82"/>
      <c r="AP197" s="82"/>
    </row>
    <row r="198" spans="14:42">
      <c r="N198" s="82"/>
      <c r="O198" s="82"/>
      <c r="P198" s="82"/>
      <c r="Q198" s="82"/>
      <c r="R198" s="82"/>
      <c r="S198" s="82"/>
      <c r="T198" s="82"/>
      <c r="U198" s="82"/>
      <c r="V198" s="82"/>
      <c r="W198" s="82"/>
      <c r="X198" s="82"/>
      <c r="Y198" s="82"/>
      <c r="Z198" s="82"/>
      <c r="AA198" s="82"/>
      <c r="AB198" s="82"/>
      <c r="AC198" s="82"/>
      <c r="AD198" s="82"/>
      <c r="AE198" s="82"/>
      <c r="AF198" s="82"/>
      <c r="AG198" s="82"/>
      <c r="AH198" s="82"/>
      <c r="AI198" s="82"/>
      <c r="AJ198" s="82">
        <f>'[1]Bewertung Kolloquium'!A57</f>
        <v>0</v>
      </c>
      <c r="AK198" s="82">
        <f>'[1]Bewertung Kolloquium'!A57</f>
        <v>0</v>
      </c>
      <c r="AL198" s="82" t="e">
        <f>IF('[1]Bewertung Kolloquium'!F57='[1]Bewertung Kolloquium'!$C$9,'[1]Bewertung Kolloquium'!$C57,IF('[1]Bewertung Kolloquium'!F57='[1]Bewertung Kolloquium'!$D$9,'[1]Bewertung Kolloquium'!$D57,IF('[1]Bewertung Kolloquium'!F57='[1]Bewertung Kolloquium'!$E$9,'[1]Bewertung Kolloquium'!$E57,"")))</f>
        <v>#REF!</v>
      </c>
      <c r="AM198" s="83">
        <f>'[1]Bewertung Kolloquium'!F57</f>
        <v>0</v>
      </c>
      <c r="AN198" s="83">
        <f>'[1]Bewertung Kolloquium'!L57</f>
        <v>0</v>
      </c>
      <c r="AO198" s="82"/>
      <c r="AP198" s="82"/>
    </row>
    <row r="199" spans="14:42">
      <c r="N199" s="82"/>
      <c r="O199" s="82"/>
      <c r="P199" s="82"/>
      <c r="Q199" s="82"/>
      <c r="R199" s="82"/>
      <c r="S199" s="82"/>
      <c r="T199" s="82"/>
      <c r="U199" s="82"/>
      <c r="V199" s="82"/>
      <c r="W199" s="82"/>
      <c r="X199" s="82"/>
      <c r="Y199" s="82"/>
      <c r="Z199" s="82"/>
      <c r="AA199" s="82"/>
      <c r="AB199" s="82"/>
      <c r="AC199" s="82"/>
      <c r="AD199" s="82"/>
      <c r="AE199" s="82"/>
      <c r="AF199" s="82"/>
      <c r="AG199" s="82"/>
      <c r="AH199" s="82"/>
      <c r="AI199" s="82"/>
      <c r="AJ199" s="82">
        <f>'[1]Bewertung Kolloquium'!A58</f>
        <v>0</v>
      </c>
      <c r="AK199" s="82">
        <f>'[1]Bewertung Kolloquium'!A58</f>
        <v>0</v>
      </c>
      <c r="AL199" s="82" t="e">
        <f>IF('[1]Bewertung Kolloquium'!F58='[1]Bewertung Kolloquium'!$C$9,'[1]Bewertung Kolloquium'!$C58,IF('[1]Bewertung Kolloquium'!F58='[1]Bewertung Kolloquium'!$D$9,'[1]Bewertung Kolloquium'!$D58,IF('[1]Bewertung Kolloquium'!F58='[1]Bewertung Kolloquium'!$E$9,'[1]Bewertung Kolloquium'!$E58,"")))</f>
        <v>#REF!</v>
      </c>
      <c r="AM199" s="83">
        <f>'[1]Bewertung Kolloquium'!F58</f>
        <v>0</v>
      </c>
      <c r="AN199" s="83">
        <f>'[1]Bewertung Kolloquium'!L58</f>
        <v>0</v>
      </c>
      <c r="AO199" s="82"/>
      <c r="AP199" s="82"/>
    </row>
    <row r="200" spans="14:42">
      <c r="N200" s="82"/>
      <c r="O200" s="82"/>
      <c r="P200" s="82"/>
      <c r="Q200" s="82"/>
      <c r="R200" s="82"/>
      <c r="S200" s="82"/>
      <c r="T200" s="82"/>
      <c r="U200" s="82"/>
      <c r="V200" s="82"/>
      <c r="W200" s="82"/>
      <c r="X200" s="82"/>
      <c r="Y200" s="82"/>
      <c r="Z200" s="82"/>
      <c r="AA200" s="82"/>
      <c r="AB200" s="82"/>
      <c r="AC200" s="82"/>
      <c r="AD200" s="82"/>
      <c r="AE200" s="82"/>
      <c r="AF200" s="82"/>
      <c r="AG200" s="82"/>
      <c r="AH200" s="82"/>
      <c r="AI200" s="82"/>
      <c r="AJ200" s="82">
        <f>'[1]Bewertung Kolloquium'!A59</f>
        <v>0</v>
      </c>
      <c r="AK200" s="82">
        <f>'[1]Bewertung Kolloquium'!A59</f>
        <v>0</v>
      </c>
      <c r="AL200" s="82" t="e">
        <f>IF('[1]Bewertung Kolloquium'!F59='[1]Bewertung Kolloquium'!$C$9,'[1]Bewertung Kolloquium'!$C59,IF('[1]Bewertung Kolloquium'!F59='[1]Bewertung Kolloquium'!$D$9,'[1]Bewertung Kolloquium'!$D59,IF('[1]Bewertung Kolloquium'!F59='[1]Bewertung Kolloquium'!$E$9,'[1]Bewertung Kolloquium'!$E59,"")))</f>
        <v>#REF!</v>
      </c>
      <c r="AM200" s="83">
        <f>'[1]Bewertung Kolloquium'!F59</f>
        <v>0</v>
      </c>
      <c r="AN200" s="83">
        <f>'[1]Bewertung Kolloquium'!L59</f>
        <v>0</v>
      </c>
      <c r="AO200" s="82"/>
      <c r="AP200" s="82"/>
    </row>
    <row r="201" spans="14:42">
      <c r="N201" s="82"/>
      <c r="O201" s="82"/>
      <c r="P201" s="82"/>
      <c r="Q201" s="82"/>
      <c r="R201" s="82"/>
      <c r="S201" s="82"/>
      <c r="T201" s="82"/>
      <c r="U201" s="82"/>
      <c r="V201" s="82"/>
      <c r="W201" s="82"/>
      <c r="X201" s="82"/>
      <c r="Y201" s="82"/>
      <c r="Z201" s="82"/>
      <c r="AA201" s="82"/>
      <c r="AB201" s="82"/>
      <c r="AC201" s="82"/>
      <c r="AD201" s="82"/>
      <c r="AE201" s="82"/>
      <c r="AF201" s="82"/>
      <c r="AG201" s="82"/>
      <c r="AH201" s="82"/>
      <c r="AI201" s="82"/>
      <c r="AJ201" s="82">
        <f>'[1]Bewertung Kolloquium'!A60</f>
        <v>0</v>
      </c>
      <c r="AK201" s="82">
        <f>'[1]Bewertung Kolloquium'!A60</f>
        <v>0</v>
      </c>
      <c r="AL201" s="82" t="e">
        <f>IF('[1]Bewertung Kolloquium'!F60='[1]Bewertung Kolloquium'!$C$9,'[1]Bewertung Kolloquium'!$C60,IF('[1]Bewertung Kolloquium'!F60='[1]Bewertung Kolloquium'!$D$9,'[1]Bewertung Kolloquium'!$D60,IF('[1]Bewertung Kolloquium'!F60='[1]Bewertung Kolloquium'!$E$9,'[1]Bewertung Kolloquium'!$E60,"")))</f>
        <v>#REF!</v>
      </c>
      <c r="AM201" s="83">
        <f>'[1]Bewertung Kolloquium'!F60</f>
        <v>0</v>
      </c>
      <c r="AN201" s="83">
        <f>'[1]Bewertung Kolloquium'!L60</f>
        <v>0</v>
      </c>
      <c r="AO201" s="82"/>
      <c r="AP201" s="82"/>
    </row>
    <row r="202" spans="14:42">
      <c r="N202" s="82"/>
      <c r="O202" s="82"/>
      <c r="P202" s="82"/>
      <c r="Q202" s="82"/>
      <c r="R202" s="82"/>
      <c r="S202" s="82"/>
      <c r="T202" s="82"/>
      <c r="U202" s="82"/>
      <c r="V202" s="82"/>
      <c r="W202" s="82"/>
      <c r="X202" s="82"/>
      <c r="Y202" s="82"/>
      <c r="Z202" s="82"/>
      <c r="AA202" s="82"/>
      <c r="AB202" s="82"/>
      <c r="AC202" s="82"/>
      <c r="AD202" s="82"/>
      <c r="AE202" s="82"/>
      <c r="AF202" s="82"/>
      <c r="AG202" s="82"/>
      <c r="AH202" s="82"/>
      <c r="AI202" s="82"/>
      <c r="AJ202" s="82">
        <f>'[1]Bewertung Kolloquium'!A61</f>
        <v>0</v>
      </c>
      <c r="AK202" s="82">
        <f>'[1]Bewertung Kolloquium'!A61</f>
        <v>0</v>
      </c>
      <c r="AL202" s="82" t="e">
        <f>IF('[1]Bewertung Kolloquium'!F61='[1]Bewertung Kolloquium'!$C$9,'[1]Bewertung Kolloquium'!$C61,IF('[1]Bewertung Kolloquium'!F61='[1]Bewertung Kolloquium'!$D$9,'[1]Bewertung Kolloquium'!$D61,IF('[1]Bewertung Kolloquium'!F61='[1]Bewertung Kolloquium'!$E$9,'[1]Bewertung Kolloquium'!$E61,"")))</f>
        <v>#REF!</v>
      </c>
      <c r="AM202" s="83">
        <f>'[1]Bewertung Kolloquium'!F61</f>
        <v>0</v>
      </c>
      <c r="AN202" s="83">
        <f>'[1]Bewertung Kolloquium'!L61</f>
        <v>0</v>
      </c>
      <c r="AO202" s="82"/>
      <c r="AP202" s="82"/>
    </row>
    <row r="203" spans="14:42">
      <c r="N203" s="82"/>
      <c r="O203" s="82"/>
      <c r="P203" s="82"/>
      <c r="Q203" s="82"/>
      <c r="R203" s="82"/>
      <c r="S203" s="82"/>
      <c r="T203" s="82"/>
      <c r="U203" s="82"/>
      <c r="V203" s="82"/>
      <c r="W203" s="82"/>
      <c r="X203" s="82"/>
      <c r="Y203" s="82"/>
      <c r="Z203" s="82"/>
      <c r="AA203" s="82"/>
      <c r="AB203" s="82"/>
      <c r="AC203" s="82"/>
      <c r="AD203" s="82"/>
      <c r="AE203" s="82"/>
      <c r="AF203" s="82"/>
      <c r="AG203" s="82"/>
      <c r="AH203" s="82"/>
      <c r="AI203" s="82"/>
      <c r="AJ203" s="82">
        <f>'[1]Bewertung Kolloquium'!A62</f>
        <v>0</v>
      </c>
      <c r="AK203" s="82">
        <f>'[1]Bewertung Kolloquium'!A62</f>
        <v>0</v>
      </c>
      <c r="AL203" s="82" t="e">
        <f>IF('[1]Bewertung Kolloquium'!F62='[1]Bewertung Kolloquium'!$C$9,'[1]Bewertung Kolloquium'!$C62,IF('[1]Bewertung Kolloquium'!F62='[1]Bewertung Kolloquium'!$D$9,'[1]Bewertung Kolloquium'!$D62,IF('[1]Bewertung Kolloquium'!F62='[1]Bewertung Kolloquium'!$E$9,'[1]Bewertung Kolloquium'!$E62,"")))</f>
        <v>#REF!</v>
      </c>
      <c r="AM203" s="83">
        <f>'[1]Bewertung Kolloquium'!F62</f>
        <v>0</v>
      </c>
      <c r="AN203" s="83">
        <f>'[1]Bewertung Kolloquium'!L62</f>
        <v>0</v>
      </c>
      <c r="AO203" s="82"/>
      <c r="AP203" s="82"/>
    </row>
    <row r="204" spans="14:42">
      <c r="N204" s="82"/>
      <c r="O204" s="82"/>
      <c r="P204" s="82"/>
      <c r="Q204" s="82"/>
      <c r="R204" s="82"/>
      <c r="S204" s="82"/>
      <c r="T204" s="82"/>
      <c r="U204" s="82"/>
      <c r="V204" s="82"/>
      <c r="W204" s="82"/>
      <c r="X204" s="82"/>
      <c r="Y204" s="82"/>
      <c r="Z204" s="82"/>
      <c r="AA204" s="82"/>
      <c r="AB204" s="82"/>
      <c r="AC204" s="82"/>
      <c r="AD204" s="82"/>
      <c r="AE204" s="82"/>
      <c r="AF204" s="82"/>
      <c r="AG204" s="82"/>
      <c r="AH204" s="82"/>
      <c r="AI204" s="82"/>
      <c r="AJ204" s="82">
        <f>'[1]Bewertung Kolloquium'!A63</f>
        <v>0</v>
      </c>
      <c r="AK204" s="82">
        <f>'[1]Bewertung Kolloquium'!A63</f>
        <v>0</v>
      </c>
      <c r="AL204" s="82" t="e">
        <f>IF('[1]Bewertung Kolloquium'!F63='[1]Bewertung Kolloquium'!$C$9,'[1]Bewertung Kolloquium'!$C63,IF('[1]Bewertung Kolloquium'!F63='[1]Bewertung Kolloquium'!$D$9,'[1]Bewertung Kolloquium'!$D63,IF('[1]Bewertung Kolloquium'!F63='[1]Bewertung Kolloquium'!$E$9,'[1]Bewertung Kolloquium'!$E63,"")))</f>
        <v>#REF!</v>
      </c>
      <c r="AM204" s="83">
        <f>'[1]Bewertung Kolloquium'!F63</f>
        <v>0</v>
      </c>
      <c r="AN204" s="83">
        <f>'[1]Bewertung Kolloquium'!L63</f>
        <v>0</v>
      </c>
      <c r="AO204" s="82"/>
      <c r="AP204" s="82"/>
    </row>
    <row r="205" spans="14:42">
      <c r="N205" s="82"/>
      <c r="O205" s="82"/>
      <c r="P205" s="82"/>
      <c r="Q205" s="82"/>
      <c r="R205" s="82"/>
      <c r="S205" s="82"/>
      <c r="T205" s="82"/>
      <c r="U205" s="82"/>
      <c r="V205" s="82"/>
      <c r="W205" s="82"/>
      <c r="X205" s="82"/>
      <c r="Y205" s="82"/>
      <c r="Z205" s="82"/>
      <c r="AA205" s="82"/>
      <c r="AB205" s="82"/>
      <c r="AC205" s="82"/>
      <c r="AD205" s="82"/>
      <c r="AE205" s="82"/>
      <c r="AF205" s="82"/>
      <c r="AG205" s="82"/>
      <c r="AH205" s="82"/>
      <c r="AI205" s="82"/>
      <c r="AJ205" s="82">
        <f>'[1]Bewertung Kolloquium'!A64</f>
        <v>0</v>
      </c>
      <c r="AK205" s="82">
        <f>'[1]Bewertung Kolloquium'!A64</f>
        <v>0</v>
      </c>
      <c r="AL205" s="82" t="e">
        <f>IF('[1]Bewertung Kolloquium'!F64='[1]Bewertung Kolloquium'!$C$9,'[1]Bewertung Kolloquium'!$C64,IF('[1]Bewertung Kolloquium'!F64='[1]Bewertung Kolloquium'!$D$9,'[1]Bewertung Kolloquium'!$D64,IF('[1]Bewertung Kolloquium'!F64='[1]Bewertung Kolloquium'!$E$9,'[1]Bewertung Kolloquium'!$E64,"")))</f>
        <v>#REF!</v>
      </c>
      <c r="AM205" s="83">
        <f>'[1]Bewertung Kolloquium'!F64</f>
        <v>0</v>
      </c>
      <c r="AN205" s="83">
        <f>'[1]Bewertung Kolloquium'!L64</f>
        <v>0</v>
      </c>
      <c r="AO205" s="82"/>
      <c r="AP205" s="82"/>
    </row>
    <row r="206" spans="14:42">
      <c r="N206" s="82"/>
      <c r="O206" s="82"/>
      <c r="P206" s="82"/>
      <c r="Q206" s="82"/>
      <c r="R206" s="82"/>
      <c r="S206" s="82"/>
      <c r="T206" s="82"/>
      <c r="U206" s="82"/>
      <c r="V206" s="82"/>
      <c r="W206" s="82"/>
      <c r="X206" s="82"/>
      <c r="Y206" s="82"/>
      <c r="Z206" s="82"/>
      <c r="AA206" s="82"/>
      <c r="AB206" s="82"/>
      <c r="AC206" s="82"/>
      <c r="AD206" s="82"/>
      <c r="AE206" s="82"/>
      <c r="AF206" s="82"/>
      <c r="AG206" s="82"/>
      <c r="AH206" s="82"/>
      <c r="AI206" s="82"/>
      <c r="AJ206" s="82">
        <f>'[1]Bewertung Kolloquium'!A65</f>
        <v>0</v>
      </c>
      <c r="AK206" s="82">
        <f>'[1]Bewertung Kolloquium'!A65</f>
        <v>0</v>
      </c>
      <c r="AL206" s="82" t="e">
        <f>IF('[1]Bewertung Kolloquium'!F65='[1]Bewertung Kolloquium'!$C$9,'[1]Bewertung Kolloquium'!$C65,IF('[1]Bewertung Kolloquium'!F65='[1]Bewertung Kolloquium'!$D$9,'[1]Bewertung Kolloquium'!$D65,IF('[1]Bewertung Kolloquium'!F65='[1]Bewertung Kolloquium'!$E$9,'[1]Bewertung Kolloquium'!$E65,"")))</f>
        <v>#REF!</v>
      </c>
      <c r="AM206" s="83">
        <f>'[1]Bewertung Kolloquium'!F65</f>
        <v>0</v>
      </c>
      <c r="AN206" s="83">
        <f>'[1]Bewertung Kolloquium'!L65</f>
        <v>0</v>
      </c>
      <c r="AO206" s="82"/>
      <c r="AP206" s="82"/>
    </row>
    <row r="207" spans="14:42">
      <c r="N207" s="82"/>
      <c r="O207" s="82"/>
      <c r="P207" s="82"/>
      <c r="Q207" s="82"/>
      <c r="R207" s="82"/>
      <c r="S207" s="82"/>
      <c r="T207" s="82"/>
      <c r="U207" s="82"/>
      <c r="V207" s="82"/>
      <c r="W207" s="82"/>
      <c r="X207" s="82"/>
      <c r="Y207" s="82"/>
      <c r="Z207" s="82"/>
      <c r="AA207" s="82"/>
      <c r="AB207" s="82"/>
      <c r="AC207" s="82"/>
      <c r="AD207" s="82"/>
      <c r="AE207" s="82"/>
      <c r="AF207" s="82"/>
      <c r="AG207" s="82"/>
      <c r="AH207" s="82"/>
      <c r="AI207" s="82"/>
      <c r="AJ207" s="82">
        <f>'[1]Bewertung Kolloquium'!A66</f>
        <v>0</v>
      </c>
      <c r="AK207" s="82">
        <f>'[1]Bewertung Kolloquium'!A66</f>
        <v>0</v>
      </c>
      <c r="AL207" s="82" t="e">
        <f>IF('[1]Bewertung Kolloquium'!F66='[1]Bewertung Kolloquium'!$C$9,'[1]Bewertung Kolloquium'!$C66,IF('[1]Bewertung Kolloquium'!F66='[1]Bewertung Kolloquium'!$D$9,'[1]Bewertung Kolloquium'!$D66,IF('[1]Bewertung Kolloquium'!F66='[1]Bewertung Kolloquium'!$E$9,'[1]Bewertung Kolloquium'!$E66,"")))</f>
        <v>#REF!</v>
      </c>
      <c r="AM207" s="83">
        <f>'[1]Bewertung Kolloquium'!F66</f>
        <v>0</v>
      </c>
      <c r="AN207" s="83">
        <f>'[1]Bewertung Kolloquium'!L66</f>
        <v>0</v>
      </c>
      <c r="AO207" s="82"/>
      <c r="AP207" s="82"/>
    </row>
    <row r="208" spans="14:42">
      <c r="N208" s="82"/>
      <c r="O208" s="82"/>
      <c r="P208" s="82"/>
      <c r="Q208" s="82"/>
      <c r="R208" s="82"/>
      <c r="S208" s="82"/>
      <c r="T208" s="82"/>
      <c r="U208" s="82"/>
      <c r="V208" s="82"/>
      <c r="W208" s="82"/>
      <c r="X208" s="82"/>
      <c r="Y208" s="82"/>
      <c r="Z208" s="82"/>
      <c r="AA208" s="82"/>
      <c r="AB208" s="82"/>
      <c r="AC208" s="82"/>
      <c r="AD208" s="82"/>
      <c r="AE208" s="82"/>
      <c r="AF208" s="82"/>
      <c r="AG208" s="82"/>
      <c r="AH208" s="82"/>
      <c r="AI208" s="82"/>
      <c r="AJ208" s="82">
        <f>'[1]Bewertung Kolloquium'!A67</f>
        <v>0</v>
      </c>
      <c r="AK208" s="82">
        <f>'[1]Bewertung Kolloquium'!A67</f>
        <v>0</v>
      </c>
      <c r="AL208" s="82" t="e">
        <f>IF('[1]Bewertung Kolloquium'!F67='[1]Bewertung Kolloquium'!$C$9,'[1]Bewertung Kolloquium'!$C67,IF('[1]Bewertung Kolloquium'!F67='[1]Bewertung Kolloquium'!$D$9,'[1]Bewertung Kolloquium'!$D67,IF('[1]Bewertung Kolloquium'!F67='[1]Bewertung Kolloquium'!$E$9,'[1]Bewertung Kolloquium'!$E67,"")))</f>
        <v>#REF!</v>
      </c>
      <c r="AM208" s="83">
        <f>'[1]Bewertung Kolloquium'!F67</f>
        <v>0</v>
      </c>
      <c r="AN208" s="83">
        <f>'[1]Bewertung Kolloquium'!L67</f>
        <v>0</v>
      </c>
      <c r="AO208" s="82"/>
      <c r="AP208" s="82"/>
    </row>
    <row r="209" spans="14:42">
      <c r="N209" s="82"/>
      <c r="O209" s="82"/>
      <c r="P209" s="82"/>
      <c r="Q209" s="82"/>
      <c r="R209" s="82"/>
      <c r="S209" s="82"/>
      <c r="T209" s="82"/>
      <c r="U209" s="82"/>
      <c r="V209" s="82"/>
      <c r="W209" s="82"/>
      <c r="X209" s="82"/>
      <c r="Y209" s="82"/>
      <c r="Z209" s="82"/>
      <c r="AA209" s="82"/>
      <c r="AB209" s="82"/>
      <c r="AC209" s="82"/>
      <c r="AD209" s="82"/>
      <c r="AE209" s="82"/>
      <c r="AF209" s="82"/>
      <c r="AG209" s="82"/>
      <c r="AH209" s="82"/>
      <c r="AI209" s="82"/>
      <c r="AJ209" s="82">
        <f>'[1]Bewertung Kolloquium'!A68</f>
        <v>0</v>
      </c>
      <c r="AK209" s="82">
        <f>'[1]Bewertung Kolloquium'!A68</f>
        <v>0</v>
      </c>
      <c r="AL209" s="82" t="e">
        <f>IF('[1]Bewertung Kolloquium'!F68='[1]Bewertung Kolloquium'!$C$9,'[1]Bewertung Kolloquium'!$C68,IF('[1]Bewertung Kolloquium'!F68='[1]Bewertung Kolloquium'!$D$9,'[1]Bewertung Kolloquium'!$D68,IF('[1]Bewertung Kolloquium'!F68='[1]Bewertung Kolloquium'!$E$9,'[1]Bewertung Kolloquium'!$E68,"")))</f>
        <v>#REF!</v>
      </c>
      <c r="AM209" s="83">
        <f>'[1]Bewertung Kolloquium'!F68</f>
        <v>0</v>
      </c>
      <c r="AN209" s="83">
        <f>'[1]Bewertung Kolloquium'!L68</f>
        <v>0</v>
      </c>
      <c r="AO209" s="82"/>
      <c r="AP209" s="82"/>
    </row>
    <row r="210" spans="14:42">
      <c r="N210" s="82"/>
      <c r="O210" s="82"/>
      <c r="P210" s="82"/>
      <c r="Q210" s="82"/>
      <c r="R210" s="82"/>
      <c r="S210" s="82"/>
      <c r="T210" s="82"/>
      <c r="U210" s="82"/>
      <c r="V210" s="82"/>
      <c r="W210" s="82"/>
      <c r="X210" s="82"/>
      <c r="Y210" s="82"/>
      <c r="Z210" s="82"/>
      <c r="AA210" s="82"/>
      <c r="AB210" s="82"/>
      <c r="AC210" s="82"/>
      <c r="AD210" s="82"/>
      <c r="AE210" s="82"/>
      <c r="AF210" s="82"/>
      <c r="AG210" s="82"/>
      <c r="AH210" s="82"/>
      <c r="AI210" s="82"/>
      <c r="AJ210" s="82">
        <f>'[1]Bewertung Kolloquium'!A69</f>
        <v>0</v>
      </c>
      <c r="AK210" s="82">
        <f>'[1]Bewertung Kolloquium'!A69</f>
        <v>0</v>
      </c>
      <c r="AL210" s="82" t="e">
        <f>IF('[1]Bewertung Kolloquium'!F69='[1]Bewertung Kolloquium'!$C$9,'[1]Bewertung Kolloquium'!$C69,IF('[1]Bewertung Kolloquium'!F69='[1]Bewertung Kolloquium'!$D$9,'[1]Bewertung Kolloquium'!$D69,IF('[1]Bewertung Kolloquium'!F69='[1]Bewertung Kolloquium'!$E$9,'[1]Bewertung Kolloquium'!$E69,"")))</f>
        <v>#REF!</v>
      </c>
      <c r="AM210" s="83">
        <f>'[1]Bewertung Kolloquium'!F69</f>
        <v>0</v>
      </c>
      <c r="AN210" s="83">
        <f>'[1]Bewertung Kolloquium'!L69</f>
        <v>0</v>
      </c>
      <c r="AO210" s="82"/>
      <c r="AP210" s="82"/>
    </row>
    <row r="211" spans="14:42">
      <c r="N211" s="82"/>
      <c r="O211" s="82"/>
      <c r="P211" s="82"/>
      <c r="Q211" s="82"/>
      <c r="R211" s="82"/>
      <c r="S211" s="82"/>
      <c r="T211" s="82"/>
      <c r="U211" s="82"/>
      <c r="V211" s="82"/>
      <c r="W211" s="82"/>
      <c r="X211" s="82"/>
      <c r="Y211" s="82"/>
      <c r="Z211" s="82"/>
      <c r="AA211" s="82"/>
      <c r="AB211" s="82"/>
      <c r="AC211" s="82"/>
      <c r="AD211" s="82"/>
      <c r="AE211" s="82"/>
      <c r="AF211" s="82"/>
      <c r="AG211" s="82"/>
      <c r="AH211" s="82"/>
      <c r="AI211" s="82"/>
      <c r="AJ211" s="82">
        <f>'[1]Bewertung Kolloquium'!A70</f>
        <v>0</v>
      </c>
      <c r="AK211" s="82">
        <f>'[1]Bewertung Kolloquium'!A70</f>
        <v>0</v>
      </c>
      <c r="AL211" s="82" t="e">
        <f>IF('[1]Bewertung Kolloquium'!F70='[1]Bewertung Kolloquium'!$C$9,'[1]Bewertung Kolloquium'!$C70,IF('[1]Bewertung Kolloquium'!F70='[1]Bewertung Kolloquium'!$D$9,'[1]Bewertung Kolloquium'!$D70,IF('[1]Bewertung Kolloquium'!F70='[1]Bewertung Kolloquium'!$E$9,'[1]Bewertung Kolloquium'!$E70,"")))</f>
        <v>#REF!</v>
      </c>
      <c r="AM211" s="83">
        <f>'[1]Bewertung Kolloquium'!F70</f>
        <v>0</v>
      </c>
      <c r="AN211" s="83">
        <f>'[1]Bewertung Kolloquium'!L70</f>
        <v>0</v>
      </c>
      <c r="AO211" s="82"/>
      <c r="AP211" s="82"/>
    </row>
    <row r="212" spans="14:42">
      <c r="N212" s="82"/>
      <c r="O212" s="82"/>
      <c r="P212" s="82"/>
      <c r="Q212" s="82"/>
      <c r="R212" s="82"/>
      <c r="S212" s="82"/>
      <c r="T212" s="82"/>
      <c r="U212" s="82"/>
      <c r="V212" s="82"/>
      <c r="W212" s="82"/>
      <c r="X212" s="82"/>
      <c r="Y212" s="82"/>
      <c r="Z212" s="82"/>
      <c r="AA212" s="82"/>
      <c r="AB212" s="82"/>
      <c r="AC212" s="82"/>
      <c r="AD212" s="82"/>
      <c r="AE212" s="82"/>
      <c r="AF212" s="82"/>
      <c r="AG212" s="82"/>
      <c r="AH212" s="82"/>
      <c r="AI212" s="82"/>
      <c r="AJ212" s="82">
        <f>'[1]Bewertung Kolloquium'!A71</f>
        <v>0</v>
      </c>
      <c r="AK212" s="82">
        <f>'[1]Bewertung Kolloquium'!A71</f>
        <v>0</v>
      </c>
      <c r="AL212" s="82" t="e">
        <f>IF('[1]Bewertung Kolloquium'!F71='[1]Bewertung Kolloquium'!$C$9,'[1]Bewertung Kolloquium'!$C71,IF('[1]Bewertung Kolloquium'!F71='[1]Bewertung Kolloquium'!$D$9,'[1]Bewertung Kolloquium'!$D71,IF('[1]Bewertung Kolloquium'!F71='[1]Bewertung Kolloquium'!$E$9,'[1]Bewertung Kolloquium'!$E71,"")))</f>
        <v>#REF!</v>
      </c>
      <c r="AM212" s="83">
        <f>'[1]Bewertung Kolloquium'!F71</f>
        <v>0</v>
      </c>
      <c r="AN212" s="83">
        <f>'[1]Bewertung Kolloquium'!L71</f>
        <v>0</v>
      </c>
      <c r="AO212" s="82"/>
      <c r="AP212" s="82"/>
    </row>
    <row r="213" spans="14:42">
      <c r="N213" s="82"/>
      <c r="O213" s="82"/>
      <c r="P213" s="82"/>
      <c r="Q213" s="82"/>
      <c r="R213" s="82"/>
      <c r="S213" s="82"/>
      <c r="T213" s="82"/>
      <c r="U213" s="82"/>
      <c r="V213" s="82"/>
      <c r="W213" s="82"/>
      <c r="X213" s="82"/>
      <c r="Y213" s="82"/>
      <c r="Z213" s="82"/>
      <c r="AA213" s="82"/>
      <c r="AB213" s="82"/>
      <c r="AC213" s="82"/>
      <c r="AD213" s="82"/>
      <c r="AE213" s="82"/>
      <c r="AF213" s="82"/>
      <c r="AG213" s="82"/>
      <c r="AH213" s="82"/>
      <c r="AI213" s="82"/>
      <c r="AJ213" s="82">
        <f>'[1]Bewertung Kolloquium'!A72</f>
        <v>0</v>
      </c>
      <c r="AK213" s="82">
        <f>'[1]Bewertung Kolloquium'!A72</f>
        <v>0</v>
      </c>
      <c r="AL213" s="82" t="e">
        <f>IF('[1]Bewertung Kolloquium'!F72='[1]Bewertung Kolloquium'!$C$9,'[1]Bewertung Kolloquium'!$C72,IF('[1]Bewertung Kolloquium'!F72='[1]Bewertung Kolloquium'!$D$9,'[1]Bewertung Kolloquium'!$D72,IF('[1]Bewertung Kolloquium'!F72='[1]Bewertung Kolloquium'!$E$9,'[1]Bewertung Kolloquium'!$E72,"")))</f>
        <v>#REF!</v>
      </c>
      <c r="AM213" s="83">
        <f>'[1]Bewertung Kolloquium'!F72</f>
        <v>0</v>
      </c>
      <c r="AN213" s="83">
        <f>'[1]Bewertung Kolloquium'!L72</f>
        <v>0</v>
      </c>
      <c r="AO213" s="82"/>
      <c r="AP213" s="82"/>
    </row>
    <row r="214" spans="14:42">
      <c r="N214" s="82"/>
      <c r="O214" s="82"/>
      <c r="P214" s="82"/>
      <c r="Q214" s="82"/>
      <c r="R214" s="82"/>
      <c r="S214" s="82"/>
      <c r="T214" s="82"/>
      <c r="U214" s="82"/>
      <c r="V214" s="82"/>
      <c r="W214" s="82"/>
      <c r="X214" s="82"/>
      <c r="Y214" s="82"/>
      <c r="Z214" s="82"/>
      <c r="AA214" s="82"/>
      <c r="AB214" s="82"/>
      <c r="AC214" s="82"/>
      <c r="AD214" s="82"/>
      <c r="AE214" s="82"/>
      <c r="AF214" s="82"/>
      <c r="AG214" s="82"/>
      <c r="AH214" s="82"/>
      <c r="AI214" s="82"/>
      <c r="AJ214" s="82">
        <f>'[1]Bewertung Kolloquium'!A73</f>
        <v>0</v>
      </c>
      <c r="AK214" s="82">
        <f>'[1]Bewertung Kolloquium'!A73</f>
        <v>0</v>
      </c>
      <c r="AL214" s="82" t="e">
        <f>IF('[1]Bewertung Kolloquium'!F73='[1]Bewertung Kolloquium'!$C$9,'[1]Bewertung Kolloquium'!$C73,IF('[1]Bewertung Kolloquium'!F73='[1]Bewertung Kolloquium'!$D$9,'[1]Bewertung Kolloquium'!$D73,IF('[1]Bewertung Kolloquium'!F73='[1]Bewertung Kolloquium'!$E$9,'[1]Bewertung Kolloquium'!$E73,"")))</f>
        <v>#REF!</v>
      </c>
      <c r="AM214" s="83">
        <f>'[1]Bewertung Kolloquium'!F73</f>
        <v>0</v>
      </c>
      <c r="AN214" s="83">
        <f>'[1]Bewertung Kolloquium'!L73</f>
        <v>0</v>
      </c>
      <c r="AO214" s="82"/>
      <c r="AP214" s="82"/>
    </row>
    <row r="215" spans="14:42">
      <c r="N215" s="82"/>
      <c r="O215" s="82"/>
      <c r="P215" s="82"/>
      <c r="Q215" s="82"/>
      <c r="R215" s="82"/>
      <c r="S215" s="82"/>
      <c r="T215" s="82"/>
      <c r="U215" s="82"/>
      <c r="V215" s="82"/>
      <c r="W215" s="82"/>
      <c r="X215" s="82"/>
      <c r="Y215" s="82"/>
      <c r="Z215" s="82"/>
      <c r="AA215" s="82"/>
      <c r="AB215" s="82"/>
      <c r="AC215" s="82"/>
      <c r="AD215" s="82"/>
      <c r="AE215" s="82"/>
      <c r="AF215" s="82"/>
      <c r="AG215" s="82"/>
      <c r="AH215" s="82"/>
      <c r="AI215" s="82"/>
      <c r="AJ215" s="82">
        <f>'[1]Bewertung Kolloquium'!A74</f>
        <v>0</v>
      </c>
      <c r="AK215" s="82">
        <f>'[1]Bewertung Kolloquium'!A74</f>
        <v>0</v>
      </c>
      <c r="AL215" s="82" t="e">
        <f>IF('[1]Bewertung Kolloquium'!F74='[1]Bewertung Kolloquium'!$C$9,'[1]Bewertung Kolloquium'!$C74,IF('[1]Bewertung Kolloquium'!F74='[1]Bewertung Kolloquium'!$D$9,'[1]Bewertung Kolloquium'!$D74,IF('[1]Bewertung Kolloquium'!F74='[1]Bewertung Kolloquium'!$E$9,'[1]Bewertung Kolloquium'!$E74,"")))</f>
        <v>#REF!</v>
      </c>
      <c r="AM215" s="83">
        <f>'[1]Bewertung Kolloquium'!F74</f>
        <v>0</v>
      </c>
      <c r="AN215" s="83">
        <f>'[1]Bewertung Kolloquium'!L74</f>
        <v>0</v>
      </c>
      <c r="AO215" s="82"/>
      <c r="AP215" s="82"/>
    </row>
    <row r="216" spans="14:42">
      <c r="N216" s="82"/>
      <c r="O216" s="82"/>
      <c r="P216" s="82"/>
      <c r="Q216" s="82"/>
      <c r="R216" s="82"/>
      <c r="S216" s="82"/>
      <c r="T216" s="82"/>
      <c r="U216" s="82"/>
      <c r="V216" s="82"/>
      <c r="W216" s="82"/>
      <c r="X216" s="82"/>
      <c r="Y216" s="82"/>
      <c r="Z216" s="82"/>
      <c r="AA216" s="82"/>
      <c r="AB216" s="82"/>
      <c r="AC216" s="82"/>
      <c r="AD216" s="82"/>
      <c r="AE216" s="82"/>
      <c r="AF216" s="82"/>
      <c r="AG216" s="82"/>
      <c r="AH216" s="82"/>
      <c r="AI216" s="82"/>
      <c r="AJ216" s="82">
        <f>'[1]Bewertung Kolloquium'!A75</f>
        <v>0</v>
      </c>
      <c r="AK216" s="82">
        <f>'[1]Bewertung Kolloquium'!A75</f>
        <v>0</v>
      </c>
      <c r="AL216" s="82" t="e">
        <f>IF('[1]Bewertung Kolloquium'!F75='[1]Bewertung Kolloquium'!$C$9,'[1]Bewertung Kolloquium'!$C75,IF('[1]Bewertung Kolloquium'!F75='[1]Bewertung Kolloquium'!$D$9,'[1]Bewertung Kolloquium'!$D75,IF('[1]Bewertung Kolloquium'!F75='[1]Bewertung Kolloquium'!$E$9,'[1]Bewertung Kolloquium'!$E75,"")))</f>
        <v>#REF!</v>
      </c>
      <c r="AM216" s="83">
        <f>'[1]Bewertung Kolloquium'!F75</f>
        <v>0</v>
      </c>
      <c r="AN216" s="83">
        <f>'[1]Bewertung Kolloquium'!L75</f>
        <v>0</v>
      </c>
      <c r="AO216" s="82"/>
      <c r="AP216" s="82"/>
    </row>
    <row r="217" spans="14:42">
      <c r="N217" s="82"/>
      <c r="O217" s="82"/>
      <c r="P217" s="82"/>
      <c r="Q217" s="82"/>
      <c r="R217" s="82"/>
      <c r="S217" s="82"/>
      <c r="T217" s="82"/>
      <c r="U217" s="82"/>
      <c r="V217" s="82"/>
      <c r="W217" s="82"/>
      <c r="X217" s="82"/>
      <c r="Y217" s="82"/>
      <c r="Z217" s="82"/>
      <c r="AA217" s="82"/>
      <c r="AB217" s="82"/>
      <c r="AC217" s="82"/>
      <c r="AD217" s="82"/>
      <c r="AE217" s="82"/>
      <c r="AF217" s="82"/>
      <c r="AG217" s="82"/>
      <c r="AH217" s="82"/>
      <c r="AI217" s="82"/>
      <c r="AJ217" s="82">
        <f>'[1]Bewertung Kolloquium'!A76</f>
        <v>0</v>
      </c>
      <c r="AK217" s="82">
        <f>'[1]Bewertung Kolloquium'!A76</f>
        <v>0</v>
      </c>
      <c r="AL217" s="82" t="e">
        <f>IF('[1]Bewertung Kolloquium'!F76='[1]Bewertung Kolloquium'!$C$9,'[1]Bewertung Kolloquium'!$C76,IF('[1]Bewertung Kolloquium'!F76='[1]Bewertung Kolloquium'!$D$9,'[1]Bewertung Kolloquium'!$D76,IF('[1]Bewertung Kolloquium'!F76='[1]Bewertung Kolloquium'!$E$9,'[1]Bewertung Kolloquium'!$E76,"")))</f>
        <v>#REF!</v>
      </c>
      <c r="AM217" s="83">
        <f>'[1]Bewertung Kolloquium'!F76</f>
        <v>0</v>
      </c>
      <c r="AN217" s="83">
        <f>'[1]Bewertung Kolloquium'!L76</f>
        <v>0</v>
      </c>
      <c r="AO217" s="82"/>
      <c r="AP217" s="82"/>
    </row>
    <row r="218" spans="14:42">
      <c r="N218" s="82"/>
      <c r="O218" s="82"/>
      <c r="P218" s="82"/>
      <c r="Q218" s="82"/>
      <c r="R218" s="82"/>
      <c r="S218" s="82"/>
      <c r="T218" s="82"/>
      <c r="U218" s="82"/>
      <c r="V218" s="82"/>
      <c r="W218" s="82"/>
      <c r="X218" s="82"/>
      <c r="Y218" s="82"/>
      <c r="Z218" s="82"/>
      <c r="AA218" s="82"/>
      <c r="AB218" s="82"/>
      <c r="AC218" s="82"/>
      <c r="AD218" s="82"/>
      <c r="AE218" s="82"/>
      <c r="AF218" s="82"/>
      <c r="AG218" s="82"/>
      <c r="AH218" s="82"/>
      <c r="AI218" s="82"/>
      <c r="AJ218" s="82">
        <f>'[1]Bewertung Kolloquium'!A77</f>
        <v>0</v>
      </c>
      <c r="AK218" s="82">
        <f>'[1]Bewertung Kolloquium'!A77</f>
        <v>0</v>
      </c>
      <c r="AL218" s="82" t="e">
        <f>IF('[1]Bewertung Kolloquium'!F77='[1]Bewertung Kolloquium'!$C$9,'[1]Bewertung Kolloquium'!$C77,IF('[1]Bewertung Kolloquium'!F77='[1]Bewertung Kolloquium'!$D$9,'[1]Bewertung Kolloquium'!$D77,IF('[1]Bewertung Kolloquium'!F77='[1]Bewertung Kolloquium'!$E$9,'[1]Bewertung Kolloquium'!$E77,"")))</f>
        <v>#REF!</v>
      </c>
      <c r="AM218" s="83">
        <f>'[1]Bewertung Kolloquium'!F77</f>
        <v>0</v>
      </c>
      <c r="AN218" s="83">
        <f>'[1]Bewertung Kolloquium'!L77</f>
        <v>0</v>
      </c>
      <c r="AO218" s="82"/>
      <c r="AP218" s="82"/>
    </row>
    <row r="219" spans="14:42">
      <c r="N219" s="82"/>
      <c r="O219" s="82"/>
      <c r="P219" s="82"/>
      <c r="Q219" s="82"/>
      <c r="R219" s="82"/>
      <c r="S219" s="82"/>
      <c r="T219" s="82"/>
      <c r="U219" s="82"/>
      <c r="V219" s="82"/>
      <c r="W219" s="82"/>
      <c r="X219" s="82"/>
      <c r="Y219" s="82"/>
      <c r="Z219" s="82"/>
      <c r="AA219" s="82"/>
      <c r="AB219" s="82"/>
      <c r="AC219" s="82"/>
      <c r="AD219" s="82"/>
      <c r="AE219" s="82"/>
      <c r="AF219" s="82"/>
      <c r="AG219" s="82"/>
      <c r="AH219" s="82"/>
      <c r="AI219" s="82"/>
      <c r="AJ219" s="82">
        <f>'[1]Bewertung Kolloquium'!A78</f>
        <v>0</v>
      </c>
      <c r="AK219" s="82">
        <f>'[1]Bewertung Kolloquium'!A78</f>
        <v>0</v>
      </c>
      <c r="AL219" s="82" t="e">
        <f>IF('[1]Bewertung Kolloquium'!F78='[1]Bewertung Kolloquium'!$C$9,'[1]Bewertung Kolloquium'!$C78,IF('[1]Bewertung Kolloquium'!F78='[1]Bewertung Kolloquium'!$D$9,'[1]Bewertung Kolloquium'!$D78,IF('[1]Bewertung Kolloquium'!F78='[1]Bewertung Kolloquium'!$E$9,'[1]Bewertung Kolloquium'!$E78,"")))</f>
        <v>#REF!</v>
      </c>
      <c r="AM219" s="83">
        <f>'[1]Bewertung Kolloquium'!F78</f>
        <v>0</v>
      </c>
      <c r="AN219" s="83">
        <f>'[1]Bewertung Kolloquium'!L78</f>
        <v>0</v>
      </c>
      <c r="AO219" s="82"/>
      <c r="AP219" s="82"/>
    </row>
    <row r="220" spans="14:42">
      <c r="N220" s="82"/>
      <c r="O220" s="82"/>
      <c r="P220" s="82"/>
      <c r="Q220" s="82"/>
      <c r="R220" s="82"/>
      <c r="S220" s="82"/>
      <c r="T220" s="82"/>
      <c r="U220" s="82"/>
      <c r="V220" s="82"/>
      <c r="W220" s="82"/>
      <c r="X220" s="82"/>
      <c r="Y220" s="82"/>
      <c r="Z220" s="82"/>
      <c r="AA220" s="82"/>
      <c r="AB220" s="82"/>
      <c r="AC220" s="82"/>
      <c r="AD220" s="82"/>
      <c r="AE220" s="82"/>
      <c r="AF220" s="82"/>
      <c r="AG220" s="82"/>
      <c r="AH220" s="82"/>
      <c r="AI220" s="82"/>
      <c r="AJ220" s="82">
        <f>'[1]Bewertung Kolloquium'!A79</f>
        <v>0</v>
      </c>
      <c r="AK220" s="82">
        <f>'[1]Bewertung Kolloquium'!A79</f>
        <v>0</v>
      </c>
      <c r="AL220" s="82" t="e">
        <f>IF('[1]Bewertung Kolloquium'!F79='[1]Bewertung Kolloquium'!$C$9,'[1]Bewertung Kolloquium'!$C79,IF('[1]Bewertung Kolloquium'!F79='[1]Bewertung Kolloquium'!$D$9,'[1]Bewertung Kolloquium'!$D79,IF('[1]Bewertung Kolloquium'!F79='[1]Bewertung Kolloquium'!$E$9,'[1]Bewertung Kolloquium'!$E79,"")))</f>
        <v>#REF!</v>
      </c>
      <c r="AM220" s="83">
        <f>'[1]Bewertung Kolloquium'!F79</f>
        <v>0</v>
      </c>
      <c r="AN220" s="83">
        <f>'[1]Bewertung Kolloquium'!L79</f>
        <v>0</v>
      </c>
      <c r="AO220" s="82"/>
      <c r="AP220" s="82"/>
    </row>
    <row r="221" spans="14:42">
      <c r="N221" s="82"/>
      <c r="O221" s="82"/>
      <c r="P221" s="82"/>
      <c r="Q221" s="82"/>
      <c r="R221" s="82"/>
      <c r="S221" s="82"/>
      <c r="T221" s="82"/>
      <c r="U221" s="82"/>
      <c r="V221" s="82"/>
      <c r="W221" s="82"/>
      <c r="X221" s="82"/>
      <c r="Y221" s="82"/>
      <c r="Z221" s="82"/>
      <c r="AA221" s="82"/>
      <c r="AB221" s="82"/>
      <c r="AC221" s="82"/>
      <c r="AD221" s="82"/>
      <c r="AE221" s="82"/>
      <c r="AF221" s="82"/>
      <c r="AG221" s="82"/>
      <c r="AH221" s="82"/>
      <c r="AI221" s="82"/>
      <c r="AJ221" s="82">
        <f>'[1]Bewertung Kolloquium'!A80</f>
        <v>0</v>
      </c>
      <c r="AK221" s="82">
        <f>'[1]Bewertung Kolloquium'!A80</f>
        <v>0</v>
      </c>
      <c r="AL221" s="82" t="e">
        <f>IF('[1]Bewertung Kolloquium'!F80='[1]Bewertung Kolloquium'!$C$9,'[1]Bewertung Kolloquium'!$C80,IF('[1]Bewertung Kolloquium'!F80='[1]Bewertung Kolloquium'!$D$9,'[1]Bewertung Kolloquium'!$D80,IF('[1]Bewertung Kolloquium'!F80='[1]Bewertung Kolloquium'!$E$9,'[1]Bewertung Kolloquium'!$E80,"")))</f>
        <v>#REF!</v>
      </c>
      <c r="AM221" s="83">
        <f>'[1]Bewertung Kolloquium'!F80</f>
        <v>0</v>
      </c>
      <c r="AN221" s="83">
        <f>'[1]Bewertung Kolloquium'!L80</f>
        <v>0</v>
      </c>
      <c r="AO221" s="82"/>
      <c r="AP221" s="82"/>
    </row>
    <row r="222" spans="14:42">
      <c r="N222" s="82"/>
      <c r="O222" s="82"/>
      <c r="P222" s="82"/>
      <c r="Q222" s="82"/>
      <c r="R222" s="82"/>
      <c r="S222" s="82"/>
      <c r="T222" s="82"/>
      <c r="U222" s="82"/>
      <c r="V222" s="82"/>
      <c r="W222" s="82"/>
      <c r="X222" s="82"/>
      <c r="Y222" s="82"/>
      <c r="Z222" s="82"/>
      <c r="AA222" s="82"/>
      <c r="AB222" s="82"/>
      <c r="AC222" s="82"/>
      <c r="AD222" s="82"/>
      <c r="AE222" s="82"/>
      <c r="AF222" s="82"/>
      <c r="AG222" s="82"/>
      <c r="AH222" s="82"/>
      <c r="AI222" s="82"/>
      <c r="AJ222" s="82">
        <f>'[1]Bewertung Kolloquium'!A81</f>
        <v>0</v>
      </c>
      <c r="AK222" s="82">
        <f>'[1]Bewertung Kolloquium'!A81</f>
        <v>0</v>
      </c>
      <c r="AL222" s="82" t="e">
        <f>IF('[1]Bewertung Kolloquium'!F81='[1]Bewertung Kolloquium'!$C$9,'[1]Bewertung Kolloquium'!$C81,IF('[1]Bewertung Kolloquium'!F81='[1]Bewertung Kolloquium'!$D$9,'[1]Bewertung Kolloquium'!$D81,IF('[1]Bewertung Kolloquium'!F81='[1]Bewertung Kolloquium'!$E$9,'[1]Bewertung Kolloquium'!$E81,"")))</f>
        <v>#REF!</v>
      </c>
      <c r="AM222" s="83">
        <f>'[1]Bewertung Kolloquium'!F81</f>
        <v>0</v>
      </c>
      <c r="AN222" s="83">
        <f>'[1]Bewertung Kolloquium'!L81</f>
        <v>0</v>
      </c>
      <c r="AO222" s="82"/>
      <c r="AP222" s="82"/>
    </row>
    <row r="223" spans="14:42">
      <c r="N223" s="82"/>
      <c r="O223" s="82"/>
      <c r="P223" s="82"/>
      <c r="Q223" s="82"/>
      <c r="R223" s="82"/>
      <c r="S223" s="82"/>
      <c r="T223" s="82"/>
      <c r="U223" s="82"/>
      <c r="V223" s="82"/>
      <c r="W223" s="82"/>
      <c r="X223" s="82"/>
      <c r="Y223" s="82"/>
      <c r="Z223" s="82"/>
      <c r="AA223" s="82"/>
      <c r="AB223" s="82"/>
      <c r="AC223" s="82"/>
      <c r="AD223" s="82"/>
      <c r="AE223" s="82"/>
      <c r="AF223" s="82"/>
      <c r="AG223" s="82"/>
      <c r="AH223" s="82"/>
      <c r="AI223" s="82"/>
      <c r="AJ223" s="82">
        <f>'[1]Bewertung Kolloquium'!A82</f>
        <v>0</v>
      </c>
      <c r="AK223" s="82">
        <f>'[1]Bewertung Kolloquium'!A82</f>
        <v>0</v>
      </c>
      <c r="AL223" s="82" t="e">
        <f>IF('[1]Bewertung Kolloquium'!F82='[1]Bewertung Kolloquium'!$C$9,'[1]Bewertung Kolloquium'!$C82,IF('[1]Bewertung Kolloquium'!F82='[1]Bewertung Kolloquium'!$D$9,'[1]Bewertung Kolloquium'!$D82,IF('[1]Bewertung Kolloquium'!F82='[1]Bewertung Kolloquium'!$E$9,'[1]Bewertung Kolloquium'!$E82,"")))</f>
        <v>#REF!</v>
      </c>
      <c r="AM223" s="83">
        <f>'[1]Bewertung Kolloquium'!F82</f>
        <v>0</v>
      </c>
      <c r="AN223" s="83">
        <f>'[1]Bewertung Kolloquium'!L82</f>
        <v>0</v>
      </c>
      <c r="AO223" s="82"/>
      <c r="AP223" s="82"/>
    </row>
    <row r="224" spans="14:42">
      <c r="N224" s="82"/>
      <c r="O224" s="82"/>
      <c r="P224" s="82"/>
      <c r="Q224" s="82"/>
      <c r="R224" s="82"/>
      <c r="S224" s="82"/>
      <c r="T224" s="82"/>
      <c r="U224" s="82"/>
      <c r="V224" s="82"/>
      <c r="W224" s="82"/>
      <c r="X224" s="82"/>
      <c r="Y224" s="82"/>
      <c r="Z224" s="82"/>
      <c r="AA224" s="82"/>
      <c r="AB224" s="82"/>
      <c r="AC224" s="82"/>
      <c r="AD224" s="82"/>
      <c r="AE224" s="82"/>
      <c r="AF224" s="82"/>
      <c r="AG224" s="82"/>
      <c r="AH224" s="82"/>
      <c r="AI224" s="82"/>
      <c r="AJ224" s="82">
        <f>'[1]Bewertung Kolloquium'!A83</f>
        <v>0</v>
      </c>
      <c r="AK224" s="82">
        <f>'[1]Bewertung Kolloquium'!A83</f>
        <v>0</v>
      </c>
      <c r="AL224" s="82" t="e">
        <f>IF('[1]Bewertung Kolloquium'!F83='[1]Bewertung Kolloquium'!$C$9,'[1]Bewertung Kolloquium'!$C83,IF('[1]Bewertung Kolloquium'!F83='[1]Bewertung Kolloquium'!$D$9,'[1]Bewertung Kolloquium'!$D83,IF('[1]Bewertung Kolloquium'!F83='[1]Bewertung Kolloquium'!$E$9,'[1]Bewertung Kolloquium'!$E83,"")))</f>
        <v>#REF!</v>
      </c>
      <c r="AM224" s="83">
        <f>'[1]Bewertung Kolloquium'!F83</f>
        <v>0</v>
      </c>
      <c r="AN224" s="83">
        <f>'[1]Bewertung Kolloquium'!L83</f>
        <v>0</v>
      </c>
      <c r="AO224" s="82"/>
      <c r="AP224" s="82"/>
    </row>
    <row r="225" spans="14:42">
      <c r="N225" s="82"/>
      <c r="O225" s="82"/>
      <c r="P225" s="82"/>
      <c r="Q225" s="82"/>
      <c r="R225" s="82"/>
      <c r="S225" s="82"/>
      <c r="T225" s="82"/>
      <c r="U225" s="82"/>
      <c r="V225" s="82"/>
      <c r="W225" s="82"/>
      <c r="X225" s="82"/>
      <c r="Y225" s="82"/>
      <c r="Z225" s="82"/>
      <c r="AA225" s="82"/>
      <c r="AB225" s="82"/>
      <c r="AC225" s="82"/>
      <c r="AD225" s="82"/>
      <c r="AE225" s="82"/>
      <c r="AF225" s="82"/>
      <c r="AG225" s="82"/>
      <c r="AH225" s="82"/>
      <c r="AI225" s="82"/>
      <c r="AJ225" s="82">
        <f>'[1]Bewertung Kolloquium'!A84</f>
        <v>0</v>
      </c>
      <c r="AK225" s="82">
        <f>'[1]Bewertung Kolloquium'!A84</f>
        <v>0</v>
      </c>
      <c r="AL225" s="82" t="e">
        <f>IF('[1]Bewertung Kolloquium'!F84='[1]Bewertung Kolloquium'!$C$9,'[1]Bewertung Kolloquium'!$C84,IF('[1]Bewertung Kolloquium'!F84='[1]Bewertung Kolloquium'!$D$9,'[1]Bewertung Kolloquium'!$D84,IF('[1]Bewertung Kolloquium'!F84='[1]Bewertung Kolloquium'!$E$9,'[1]Bewertung Kolloquium'!$E84,"")))</f>
        <v>#REF!</v>
      </c>
      <c r="AM225" s="83">
        <f>'[1]Bewertung Kolloquium'!F84</f>
        <v>0</v>
      </c>
      <c r="AN225" s="83">
        <f>'[1]Bewertung Kolloquium'!L84</f>
        <v>0</v>
      </c>
      <c r="AO225" s="82"/>
      <c r="AP225" s="82"/>
    </row>
    <row r="226" spans="14:42">
      <c r="N226" s="82"/>
      <c r="O226" s="82"/>
      <c r="P226" s="82"/>
      <c r="Q226" s="82"/>
      <c r="R226" s="82"/>
      <c r="S226" s="82"/>
      <c r="T226" s="82"/>
      <c r="U226" s="82"/>
      <c r="V226" s="82"/>
      <c r="W226" s="82"/>
      <c r="X226" s="82"/>
      <c r="Y226" s="82"/>
      <c r="Z226" s="82"/>
      <c r="AA226" s="82"/>
      <c r="AB226" s="82"/>
      <c r="AC226" s="82"/>
      <c r="AD226" s="82"/>
      <c r="AE226" s="82"/>
      <c r="AF226" s="82"/>
      <c r="AG226" s="82"/>
      <c r="AH226" s="82"/>
      <c r="AI226" s="82"/>
      <c r="AJ226" s="82">
        <f>'[1]Bewertung Kolloquium'!A85</f>
        <v>0</v>
      </c>
      <c r="AK226" s="82">
        <f>'[1]Bewertung Kolloquium'!A85</f>
        <v>0</v>
      </c>
      <c r="AL226" s="82" t="e">
        <f>IF('[1]Bewertung Kolloquium'!F85='[1]Bewertung Kolloquium'!$C$9,'[1]Bewertung Kolloquium'!$C85,IF('[1]Bewertung Kolloquium'!F85='[1]Bewertung Kolloquium'!$D$9,'[1]Bewertung Kolloquium'!$D85,IF('[1]Bewertung Kolloquium'!F85='[1]Bewertung Kolloquium'!$E$9,'[1]Bewertung Kolloquium'!$E85,"")))</f>
        <v>#REF!</v>
      </c>
      <c r="AM226" s="83">
        <f>'[1]Bewertung Kolloquium'!F85</f>
        <v>0</v>
      </c>
      <c r="AN226" s="83">
        <f>'[1]Bewertung Kolloquium'!L85</f>
        <v>0</v>
      </c>
      <c r="AO226" s="82"/>
      <c r="AP226" s="82"/>
    </row>
    <row r="227" spans="14:42">
      <c r="N227" s="82"/>
      <c r="O227" s="82"/>
      <c r="P227" s="82"/>
      <c r="Q227" s="82"/>
      <c r="R227" s="82"/>
      <c r="S227" s="82"/>
      <c r="T227" s="82"/>
      <c r="U227" s="82"/>
      <c r="V227" s="82"/>
      <c r="W227" s="82"/>
      <c r="X227" s="82"/>
      <c r="Y227" s="82"/>
      <c r="Z227" s="82"/>
      <c r="AA227" s="82"/>
      <c r="AB227" s="82"/>
      <c r="AC227" s="82"/>
      <c r="AD227" s="82"/>
      <c r="AE227" s="82"/>
      <c r="AF227" s="82"/>
      <c r="AG227" s="82"/>
      <c r="AH227" s="82"/>
      <c r="AI227" s="82"/>
      <c r="AJ227" s="82">
        <f>'[1]Bewertung Kolloquium'!A86</f>
        <v>0</v>
      </c>
      <c r="AK227" s="82">
        <f>'[1]Bewertung Kolloquium'!A86</f>
        <v>0</v>
      </c>
      <c r="AL227" s="82" t="e">
        <f>IF('[1]Bewertung Kolloquium'!F86='[1]Bewertung Kolloquium'!$C$9,'[1]Bewertung Kolloquium'!$C86,IF('[1]Bewertung Kolloquium'!F86='[1]Bewertung Kolloquium'!$D$9,'[1]Bewertung Kolloquium'!$D86,IF('[1]Bewertung Kolloquium'!F86='[1]Bewertung Kolloquium'!$E$9,'[1]Bewertung Kolloquium'!$E86,"")))</f>
        <v>#REF!</v>
      </c>
      <c r="AM227" s="83">
        <f>'[1]Bewertung Kolloquium'!F86</f>
        <v>0</v>
      </c>
      <c r="AN227" s="83">
        <f>'[1]Bewertung Kolloquium'!L86</f>
        <v>0</v>
      </c>
      <c r="AO227" s="82"/>
      <c r="AP227" s="82"/>
    </row>
    <row r="228" spans="14:42">
      <c r="N228" s="82"/>
      <c r="O228" s="82"/>
      <c r="P228" s="82"/>
      <c r="Q228" s="82"/>
      <c r="R228" s="82"/>
      <c r="S228" s="82"/>
      <c r="T228" s="82"/>
      <c r="U228" s="82"/>
      <c r="V228" s="82"/>
      <c r="W228" s="82"/>
      <c r="X228" s="82"/>
      <c r="Y228" s="82"/>
      <c r="Z228" s="82"/>
      <c r="AA228" s="82"/>
      <c r="AB228" s="82"/>
      <c r="AC228" s="82"/>
      <c r="AD228" s="82"/>
      <c r="AE228" s="82"/>
      <c r="AF228" s="82"/>
      <c r="AG228" s="82"/>
      <c r="AH228" s="82"/>
      <c r="AI228" s="82"/>
      <c r="AJ228" s="82">
        <f>'[1]Bewertung Kolloquium'!A87</f>
        <v>0</v>
      </c>
      <c r="AK228" s="82">
        <f>'[1]Bewertung Kolloquium'!A87</f>
        <v>0</v>
      </c>
      <c r="AL228" s="82" t="e">
        <f>IF('[1]Bewertung Kolloquium'!F87='[1]Bewertung Kolloquium'!$C$9,'[1]Bewertung Kolloquium'!$C87,IF('[1]Bewertung Kolloquium'!F87='[1]Bewertung Kolloquium'!$D$9,'[1]Bewertung Kolloquium'!$D87,IF('[1]Bewertung Kolloquium'!F87='[1]Bewertung Kolloquium'!$E$9,'[1]Bewertung Kolloquium'!$E87,"")))</f>
        <v>#REF!</v>
      </c>
      <c r="AM228" s="83">
        <f>'[1]Bewertung Kolloquium'!F87</f>
        <v>0</v>
      </c>
      <c r="AN228" s="83">
        <f>'[1]Bewertung Kolloquium'!L87</f>
        <v>0</v>
      </c>
      <c r="AO228" s="82"/>
      <c r="AP228" s="82"/>
    </row>
    <row r="229" spans="14:42">
      <c r="N229" s="82"/>
      <c r="O229" s="82"/>
      <c r="P229" s="82"/>
      <c r="Q229" s="82"/>
      <c r="R229" s="82"/>
      <c r="S229" s="82"/>
      <c r="T229" s="82"/>
      <c r="U229" s="82"/>
      <c r="V229" s="82"/>
      <c r="W229" s="82"/>
      <c r="X229" s="82"/>
      <c r="Y229" s="82"/>
      <c r="Z229" s="82"/>
      <c r="AA229" s="82"/>
      <c r="AB229" s="82"/>
      <c r="AC229" s="82"/>
      <c r="AD229" s="82"/>
      <c r="AE229" s="82"/>
      <c r="AF229" s="82"/>
      <c r="AG229" s="82"/>
      <c r="AH229" s="82"/>
      <c r="AI229" s="82"/>
      <c r="AJ229" s="82">
        <f>'[1]Bewertung Kolloquium'!A88</f>
        <v>0</v>
      </c>
      <c r="AK229" s="82">
        <f>'[1]Bewertung Kolloquium'!A88</f>
        <v>0</v>
      </c>
      <c r="AL229" s="82" t="e">
        <f>IF('[1]Bewertung Kolloquium'!F88='[1]Bewertung Kolloquium'!$C$9,'[1]Bewertung Kolloquium'!$C88,IF('[1]Bewertung Kolloquium'!F88='[1]Bewertung Kolloquium'!$D$9,'[1]Bewertung Kolloquium'!$D88,IF('[1]Bewertung Kolloquium'!F88='[1]Bewertung Kolloquium'!$E$9,'[1]Bewertung Kolloquium'!$E88,"")))</f>
        <v>#REF!</v>
      </c>
      <c r="AM229" s="83">
        <f>'[1]Bewertung Kolloquium'!F88</f>
        <v>0</v>
      </c>
      <c r="AN229" s="83">
        <f>'[1]Bewertung Kolloquium'!L88</f>
        <v>0</v>
      </c>
      <c r="AO229" s="82"/>
      <c r="AP229" s="82"/>
    </row>
    <row r="230" spans="14:42">
      <c r="N230" s="82"/>
      <c r="O230" s="82"/>
      <c r="P230" s="82"/>
      <c r="Q230" s="82"/>
      <c r="R230" s="82"/>
      <c r="S230" s="82"/>
      <c r="T230" s="82"/>
      <c r="U230" s="82"/>
      <c r="V230" s="82"/>
      <c r="W230" s="82"/>
      <c r="X230" s="82"/>
      <c r="Y230" s="82"/>
      <c r="Z230" s="82"/>
      <c r="AA230" s="82"/>
      <c r="AB230" s="82"/>
      <c r="AC230" s="82"/>
      <c r="AD230" s="82"/>
      <c r="AE230" s="82"/>
      <c r="AF230" s="82"/>
      <c r="AG230" s="82"/>
      <c r="AH230" s="82"/>
      <c r="AI230" s="82"/>
      <c r="AJ230" s="82">
        <f>'[1]Bewertung Kolloquium'!A89</f>
        <v>0</v>
      </c>
      <c r="AK230" s="82">
        <f>'[1]Bewertung Kolloquium'!A89</f>
        <v>0</v>
      </c>
      <c r="AL230" s="82" t="e">
        <f>IF('[1]Bewertung Kolloquium'!F89='[1]Bewertung Kolloquium'!$C$9,'[1]Bewertung Kolloquium'!$C89,IF('[1]Bewertung Kolloquium'!F89='[1]Bewertung Kolloquium'!$D$9,'[1]Bewertung Kolloquium'!$D89,IF('[1]Bewertung Kolloquium'!F89='[1]Bewertung Kolloquium'!$E$9,'[1]Bewertung Kolloquium'!$E89,"")))</f>
        <v>#REF!</v>
      </c>
      <c r="AM230" s="83">
        <f>'[1]Bewertung Kolloquium'!F89</f>
        <v>0</v>
      </c>
      <c r="AN230" s="83">
        <f>'[1]Bewertung Kolloquium'!L89</f>
        <v>0</v>
      </c>
      <c r="AO230" s="82"/>
      <c r="AP230" s="82"/>
    </row>
    <row r="231" spans="14:42">
      <c r="N231" s="82"/>
      <c r="O231" s="82"/>
      <c r="P231" s="82"/>
      <c r="Q231" s="82"/>
      <c r="R231" s="82"/>
      <c r="S231" s="82"/>
      <c r="T231" s="82"/>
      <c r="U231" s="82"/>
      <c r="V231" s="82"/>
      <c r="W231" s="82"/>
      <c r="X231" s="82"/>
      <c r="Y231" s="82"/>
      <c r="Z231" s="82"/>
      <c r="AA231" s="82"/>
      <c r="AB231" s="82"/>
      <c r="AC231" s="82"/>
      <c r="AD231" s="82"/>
      <c r="AE231" s="82"/>
      <c r="AF231" s="82"/>
      <c r="AG231" s="82"/>
      <c r="AH231" s="82"/>
      <c r="AI231" s="82"/>
      <c r="AJ231" s="82">
        <f>'[1]Bewertung Kolloquium'!A90</f>
        <v>0</v>
      </c>
      <c r="AK231" s="82">
        <f>'[1]Bewertung Kolloquium'!A90</f>
        <v>0</v>
      </c>
      <c r="AL231" s="82" t="e">
        <f>IF('[1]Bewertung Kolloquium'!F90='[1]Bewertung Kolloquium'!$C$9,'[1]Bewertung Kolloquium'!$C90,IF('[1]Bewertung Kolloquium'!F90='[1]Bewertung Kolloquium'!$D$9,'[1]Bewertung Kolloquium'!$D90,IF('[1]Bewertung Kolloquium'!F90='[1]Bewertung Kolloquium'!$E$9,'[1]Bewertung Kolloquium'!$E90,"")))</f>
        <v>#REF!</v>
      </c>
      <c r="AM231" s="83">
        <f>'[1]Bewertung Kolloquium'!F90</f>
        <v>0</v>
      </c>
      <c r="AN231" s="83">
        <f>'[1]Bewertung Kolloquium'!L90</f>
        <v>0</v>
      </c>
      <c r="AO231" s="82"/>
      <c r="AP231" s="82"/>
    </row>
    <row r="232" spans="14:42">
      <c r="N232" s="82"/>
      <c r="O232" s="82"/>
      <c r="P232" s="82"/>
      <c r="Q232" s="82"/>
      <c r="R232" s="82"/>
      <c r="S232" s="82"/>
      <c r="T232" s="82"/>
      <c r="U232" s="82"/>
      <c r="V232" s="82"/>
      <c r="W232" s="82"/>
      <c r="X232" s="82"/>
      <c r="Y232" s="82"/>
      <c r="Z232" s="82"/>
      <c r="AA232" s="82"/>
      <c r="AB232" s="82"/>
      <c r="AC232" s="82"/>
      <c r="AD232" s="82"/>
      <c r="AE232" s="82"/>
      <c r="AF232" s="82"/>
      <c r="AG232" s="82"/>
      <c r="AH232" s="82"/>
      <c r="AI232" s="82"/>
      <c r="AJ232" s="82">
        <f>'[1]Bewertung Kolloquium'!A91</f>
        <v>0</v>
      </c>
      <c r="AK232" s="82">
        <f>'[1]Bewertung Kolloquium'!A91</f>
        <v>0</v>
      </c>
      <c r="AL232" s="82" t="e">
        <f>IF('[1]Bewertung Kolloquium'!F91='[1]Bewertung Kolloquium'!$C$9,'[1]Bewertung Kolloquium'!$C91,IF('[1]Bewertung Kolloquium'!F91='[1]Bewertung Kolloquium'!$D$9,'[1]Bewertung Kolloquium'!$D91,IF('[1]Bewertung Kolloquium'!F91='[1]Bewertung Kolloquium'!$E$9,'[1]Bewertung Kolloquium'!$E91,"")))</f>
        <v>#REF!</v>
      </c>
      <c r="AM232" s="83">
        <f>'[1]Bewertung Kolloquium'!F91</f>
        <v>0</v>
      </c>
      <c r="AN232" s="83">
        <f>'[1]Bewertung Kolloquium'!L91</f>
        <v>0</v>
      </c>
      <c r="AO232" s="82"/>
      <c r="AP232" s="82"/>
    </row>
    <row r="233" spans="14:42">
      <c r="N233" s="82"/>
      <c r="O233" s="82"/>
      <c r="P233" s="82"/>
      <c r="Q233" s="82"/>
      <c r="R233" s="82"/>
      <c r="S233" s="82"/>
      <c r="T233" s="82"/>
      <c r="U233" s="82"/>
      <c r="V233" s="82"/>
      <c r="W233" s="82"/>
      <c r="X233" s="82"/>
      <c r="Y233" s="82"/>
      <c r="Z233" s="82"/>
      <c r="AA233" s="82"/>
      <c r="AB233" s="82"/>
      <c r="AC233" s="82"/>
      <c r="AD233" s="82"/>
      <c r="AE233" s="82"/>
      <c r="AF233" s="82"/>
      <c r="AG233" s="82"/>
      <c r="AH233" s="82"/>
      <c r="AI233" s="82"/>
      <c r="AJ233" s="82">
        <f>'[1]Bewertung Kolloquium'!A92</f>
        <v>0</v>
      </c>
      <c r="AK233" s="82">
        <f>'[1]Bewertung Kolloquium'!A92</f>
        <v>0</v>
      </c>
      <c r="AL233" s="82" t="e">
        <f>IF('[1]Bewertung Kolloquium'!F92='[1]Bewertung Kolloquium'!$C$9,'[1]Bewertung Kolloquium'!$C92,IF('[1]Bewertung Kolloquium'!F92='[1]Bewertung Kolloquium'!$D$9,'[1]Bewertung Kolloquium'!$D92,IF('[1]Bewertung Kolloquium'!F92='[1]Bewertung Kolloquium'!$E$9,'[1]Bewertung Kolloquium'!$E92,"")))</f>
        <v>#REF!</v>
      </c>
      <c r="AM233" s="83">
        <f>'[1]Bewertung Kolloquium'!F92</f>
        <v>0</v>
      </c>
      <c r="AN233" s="83">
        <f>'[1]Bewertung Kolloquium'!L92</f>
        <v>0</v>
      </c>
      <c r="AO233" s="82"/>
      <c r="AP233" s="82"/>
    </row>
    <row r="234" spans="14:42">
      <c r="N234" s="82"/>
      <c r="O234" s="82"/>
      <c r="P234" s="82"/>
      <c r="Q234" s="82"/>
      <c r="R234" s="82"/>
      <c r="S234" s="82"/>
      <c r="T234" s="82"/>
      <c r="U234" s="82"/>
      <c r="V234" s="82"/>
      <c r="W234" s="82"/>
      <c r="X234" s="82"/>
      <c r="Y234" s="82"/>
      <c r="Z234" s="82"/>
      <c r="AA234" s="82"/>
      <c r="AB234" s="82"/>
      <c r="AC234" s="82"/>
      <c r="AD234" s="82"/>
      <c r="AE234" s="82"/>
      <c r="AF234" s="82"/>
      <c r="AG234" s="82"/>
      <c r="AH234" s="82"/>
      <c r="AI234" s="82"/>
      <c r="AJ234" s="82">
        <f>'[1]Bewertung Kolloquium'!A93</f>
        <v>0</v>
      </c>
      <c r="AK234" s="82">
        <f>'[1]Bewertung Kolloquium'!A93</f>
        <v>0</v>
      </c>
      <c r="AL234" s="82" t="e">
        <f>IF('[1]Bewertung Kolloquium'!F93='[1]Bewertung Kolloquium'!$C$9,'[1]Bewertung Kolloquium'!$C93,IF('[1]Bewertung Kolloquium'!F93='[1]Bewertung Kolloquium'!$D$9,'[1]Bewertung Kolloquium'!$D93,IF('[1]Bewertung Kolloquium'!F93='[1]Bewertung Kolloquium'!$E$9,'[1]Bewertung Kolloquium'!$E93,"")))</f>
        <v>#REF!</v>
      </c>
      <c r="AM234" s="83">
        <f>'[1]Bewertung Kolloquium'!F93</f>
        <v>0</v>
      </c>
      <c r="AN234" s="83">
        <f>'[1]Bewertung Kolloquium'!L93</f>
        <v>0</v>
      </c>
      <c r="AO234" s="82"/>
      <c r="AP234" s="82"/>
    </row>
    <row r="235" spans="14:42">
      <c r="N235" s="82"/>
      <c r="O235" s="82"/>
      <c r="P235" s="82"/>
      <c r="Q235" s="82"/>
      <c r="R235" s="82"/>
      <c r="S235" s="82"/>
      <c r="T235" s="82"/>
      <c r="U235" s="82"/>
      <c r="V235" s="82"/>
      <c r="W235" s="82"/>
      <c r="X235" s="82"/>
      <c r="Y235" s="82"/>
      <c r="Z235" s="82"/>
      <c r="AA235" s="82"/>
      <c r="AB235" s="82"/>
      <c r="AC235" s="82"/>
      <c r="AD235" s="82"/>
      <c r="AE235" s="82"/>
      <c r="AF235" s="82"/>
      <c r="AG235" s="82"/>
      <c r="AH235" s="82"/>
      <c r="AI235" s="82"/>
      <c r="AJ235" s="82">
        <f>'[1]Bewertung Kolloquium'!A94</f>
        <v>0</v>
      </c>
      <c r="AK235" s="82">
        <f>'[1]Bewertung Kolloquium'!A94</f>
        <v>0</v>
      </c>
      <c r="AL235" s="82" t="e">
        <f>IF('[1]Bewertung Kolloquium'!F94='[1]Bewertung Kolloquium'!$C$9,'[1]Bewertung Kolloquium'!$C94,IF('[1]Bewertung Kolloquium'!F94='[1]Bewertung Kolloquium'!$D$9,'[1]Bewertung Kolloquium'!$D94,IF('[1]Bewertung Kolloquium'!F94='[1]Bewertung Kolloquium'!$E$9,'[1]Bewertung Kolloquium'!$E94,"")))</f>
        <v>#REF!</v>
      </c>
      <c r="AM235" s="83">
        <f>'[1]Bewertung Kolloquium'!F94</f>
        <v>0</v>
      </c>
      <c r="AN235" s="83">
        <f>'[1]Bewertung Kolloquium'!L94</f>
        <v>0</v>
      </c>
      <c r="AO235" s="82"/>
      <c r="AP235" s="82"/>
    </row>
    <row r="236" spans="14:42">
      <c r="N236" s="82"/>
      <c r="O236" s="82"/>
      <c r="P236" s="82"/>
      <c r="Q236" s="82"/>
      <c r="R236" s="82"/>
      <c r="S236" s="82"/>
      <c r="T236" s="82"/>
      <c r="U236" s="82"/>
      <c r="V236" s="82"/>
      <c r="W236" s="82"/>
      <c r="X236" s="82"/>
      <c r="Y236" s="82"/>
      <c r="Z236" s="82"/>
      <c r="AA236" s="82"/>
      <c r="AB236" s="82"/>
      <c r="AC236" s="82"/>
      <c r="AD236" s="82"/>
      <c r="AE236" s="82"/>
      <c r="AF236" s="82"/>
      <c r="AG236" s="82"/>
      <c r="AH236" s="82"/>
      <c r="AI236" s="82"/>
      <c r="AJ236" s="82">
        <f>'[1]Bewertung Kolloquium'!A95</f>
        <v>0</v>
      </c>
      <c r="AK236" s="82">
        <f>'[1]Bewertung Kolloquium'!A95</f>
        <v>0</v>
      </c>
      <c r="AL236" s="82" t="e">
        <f>IF('[1]Bewertung Kolloquium'!F95='[1]Bewertung Kolloquium'!$C$9,'[1]Bewertung Kolloquium'!$C95,IF('[1]Bewertung Kolloquium'!F95='[1]Bewertung Kolloquium'!$D$9,'[1]Bewertung Kolloquium'!$D95,IF('[1]Bewertung Kolloquium'!F95='[1]Bewertung Kolloquium'!$E$9,'[1]Bewertung Kolloquium'!$E95,"")))</f>
        <v>#REF!</v>
      </c>
      <c r="AM236" s="83">
        <f>'[1]Bewertung Kolloquium'!F95</f>
        <v>0</v>
      </c>
      <c r="AN236" s="83">
        <f>'[1]Bewertung Kolloquium'!L95</f>
        <v>0</v>
      </c>
      <c r="AO236" s="82"/>
      <c r="AP236" s="82"/>
    </row>
    <row r="237" spans="14:42">
      <c r="N237" s="82"/>
      <c r="O237" s="82"/>
      <c r="P237" s="82"/>
      <c r="Q237" s="82"/>
      <c r="R237" s="82"/>
      <c r="S237" s="82"/>
      <c r="T237" s="82"/>
      <c r="U237" s="82"/>
      <c r="V237" s="82"/>
      <c r="W237" s="82"/>
      <c r="X237" s="82"/>
      <c r="Y237" s="82"/>
      <c r="Z237" s="82"/>
      <c r="AA237" s="82"/>
      <c r="AB237" s="82"/>
      <c r="AC237" s="82"/>
      <c r="AD237" s="82"/>
      <c r="AE237" s="82"/>
      <c r="AF237" s="82"/>
      <c r="AG237" s="82"/>
      <c r="AH237" s="82"/>
      <c r="AI237" s="82"/>
      <c r="AJ237" s="82">
        <f>'[1]Bewertung Kolloquium'!A96</f>
        <v>0</v>
      </c>
      <c r="AK237" s="82">
        <f>'[1]Bewertung Kolloquium'!A96</f>
        <v>0</v>
      </c>
      <c r="AL237" s="82" t="e">
        <f>IF('[1]Bewertung Kolloquium'!F96='[1]Bewertung Kolloquium'!$C$9,'[1]Bewertung Kolloquium'!$C96,IF('[1]Bewertung Kolloquium'!F96='[1]Bewertung Kolloquium'!$D$9,'[1]Bewertung Kolloquium'!$D96,IF('[1]Bewertung Kolloquium'!F96='[1]Bewertung Kolloquium'!$E$9,'[1]Bewertung Kolloquium'!$E96,"")))</f>
        <v>#REF!</v>
      </c>
      <c r="AM237" s="83">
        <f>'[1]Bewertung Kolloquium'!F96</f>
        <v>0</v>
      </c>
      <c r="AN237" s="83">
        <f>'[1]Bewertung Kolloquium'!L96</f>
        <v>0</v>
      </c>
      <c r="AO237" s="82"/>
      <c r="AP237" s="82"/>
    </row>
    <row r="238" spans="14:42">
      <c r="N238" s="82"/>
      <c r="O238" s="82"/>
      <c r="P238" s="82"/>
      <c r="Q238" s="82"/>
      <c r="R238" s="82"/>
      <c r="S238" s="82"/>
      <c r="T238" s="82"/>
      <c r="U238" s="82"/>
      <c r="V238" s="82"/>
      <c r="W238" s="82"/>
      <c r="X238" s="82"/>
      <c r="Y238" s="82"/>
      <c r="Z238" s="82"/>
      <c r="AA238" s="82"/>
      <c r="AB238" s="82"/>
      <c r="AC238" s="82"/>
      <c r="AD238" s="82"/>
      <c r="AE238" s="82"/>
      <c r="AF238" s="82"/>
      <c r="AG238" s="82"/>
      <c r="AH238" s="82"/>
      <c r="AI238" s="82"/>
      <c r="AJ238" s="82">
        <f>'[1]Bewertung Kolloquium'!A97</f>
        <v>0</v>
      </c>
      <c r="AK238" s="82">
        <f>'[1]Bewertung Kolloquium'!A97</f>
        <v>0</v>
      </c>
      <c r="AL238" s="82" t="e">
        <f>IF('[1]Bewertung Kolloquium'!F97='[1]Bewertung Kolloquium'!$C$9,'[1]Bewertung Kolloquium'!$C97,IF('[1]Bewertung Kolloquium'!F97='[1]Bewertung Kolloquium'!$D$9,'[1]Bewertung Kolloquium'!$D97,IF('[1]Bewertung Kolloquium'!F97='[1]Bewertung Kolloquium'!$E$9,'[1]Bewertung Kolloquium'!$E97,"")))</f>
        <v>#REF!</v>
      </c>
      <c r="AM238" s="83">
        <f>'[1]Bewertung Kolloquium'!F97</f>
        <v>0</v>
      </c>
      <c r="AN238" s="83">
        <f>'[1]Bewertung Kolloquium'!L97</f>
        <v>0</v>
      </c>
      <c r="AO238" s="82"/>
      <c r="AP238" s="82"/>
    </row>
    <row r="239" spans="14:42">
      <c r="N239" s="82"/>
      <c r="O239" s="82"/>
      <c r="P239" s="82"/>
      <c r="Q239" s="82"/>
      <c r="R239" s="82"/>
      <c r="S239" s="82"/>
      <c r="T239" s="82"/>
      <c r="U239" s="82"/>
      <c r="V239" s="82"/>
      <c r="W239" s="82"/>
      <c r="X239" s="82"/>
      <c r="Y239" s="82"/>
      <c r="Z239" s="82"/>
      <c r="AA239" s="82"/>
      <c r="AB239" s="82"/>
      <c r="AC239" s="82"/>
      <c r="AD239" s="82"/>
      <c r="AE239" s="82"/>
      <c r="AF239" s="82"/>
      <c r="AG239" s="82"/>
      <c r="AH239" s="82"/>
      <c r="AI239" s="82"/>
      <c r="AJ239" s="82">
        <f>'[1]Bewertung Kolloquium'!A98</f>
        <v>0</v>
      </c>
      <c r="AK239" s="82">
        <f>'[1]Bewertung Kolloquium'!A98</f>
        <v>0</v>
      </c>
      <c r="AL239" s="82" t="e">
        <f>IF('[1]Bewertung Kolloquium'!F98='[1]Bewertung Kolloquium'!$C$9,'[1]Bewertung Kolloquium'!$C98,IF('[1]Bewertung Kolloquium'!F98='[1]Bewertung Kolloquium'!$D$9,'[1]Bewertung Kolloquium'!$D98,IF('[1]Bewertung Kolloquium'!F98='[1]Bewertung Kolloquium'!$E$9,'[1]Bewertung Kolloquium'!$E98,"")))</f>
        <v>#REF!</v>
      </c>
      <c r="AM239" s="83">
        <f>'[1]Bewertung Kolloquium'!F98</f>
        <v>0</v>
      </c>
      <c r="AN239" s="83">
        <f>'[1]Bewertung Kolloquium'!L98</f>
        <v>0</v>
      </c>
      <c r="AO239" s="82"/>
      <c r="AP239" s="82"/>
    </row>
    <row r="240" spans="14:42">
      <c r="N240" s="82"/>
      <c r="O240" s="82"/>
      <c r="P240" s="82"/>
      <c r="Q240" s="82"/>
      <c r="R240" s="82"/>
      <c r="S240" s="82"/>
      <c r="T240" s="82"/>
      <c r="U240" s="82"/>
      <c r="V240" s="82"/>
      <c r="W240" s="82"/>
      <c r="X240" s="82"/>
      <c r="Y240" s="82"/>
      <c r="Z240" s="82"/>
      <c r="AA240" s="82"/>
      <c r="AB240" s="82"/>
      <c r="AC240" s="82"/>
      <c r="AD240" s="82"/>
      <c r="AE240" s="82"/>
      <c r="AF240" s="82"/>
      <c r="AG240" s="82"/>
      <c r="AH240" s="82"/>
      <c r="AI240" s="82"/>
      <c r="AJ240" s="82">
        <f>'[1]Bewertung Kolloquium'!A99</f>
        <v>0</v>
      </c>
      <c r="AK240" s="82">
        <f>'[1]Bewertung Kolloquium'!A99</f>
        <v>0</v>
      </c>
      <c r="AL240" s="82" t="e">
        <f>IF('[1]Bewertung Kolloquium'!F99='[1]Bewertung Kolloquium'!$C$9,'[1]Bewertung Kolloquium'!$C99,IF('[1]Bewertung Kolloquium'!F99='[1]Bewertung Kolloquium'!$D$9,'[1]Bewertung Kolloquium'!$D99,IF('[1]Bewertung Kolloquium'!F99='[1]Bewertung Kolloquium'!$E$9,'[1]Bewertung Kolloquium'!$E99,"")))</f>
        <v>#REF!</v>
      </c>
      <c r="AM240" s="83">
        <f>'[1]Bewertung Kolloquium'!F99</f>
        <v>0</v>
      </c>
      <c r="AN240" s="83">
        <f>'[1]Bewertung Kolloquium'!L99</f>
        <v>0</v>
      </c>
      <c r="AO240" s="82"/>
      <c r="AP240" s="82"/>
    </row>
    <row r="241" spans="14:42">
      <c r="N241" s="82"/>
      <c r="O241" s="82"/>
      <c r="P241" s="82"/>
      <c r="Q241" s="82"/>
      <c r="R241" s="82"/>
      <c r="S241" s="82"/>
      <c r="T241" s="82"/>
      <c r="U241" s="82"/>
      <c r="V241" s="82"/>
      <c r="W241" s="82"/>
      <c r="X241" s="82"/>
      <c r="Y241" s="82"/>
      <c r="Z241" s="82"/>
      <c r="AA241" s="82"/>
      <c r="AB241" s="82"/>
      <c r="AC241" s="82"/>
      <c r="AD241" s="82"/>
      <c r="AE241" s="82"/>
      <c r="AF241" s="82"/>
      <c r="AG241" s="82"/>
      <c r="AH241" s="82"/>
      <c r="AI241" s="82"/>
      <c r="AJ241" s="82">
        <f>'[1]Bewertung Kolloquium'!A100</f>
        <v>0</v>
      </c>
      <c r="AK241" s="82">
        <f>'[1]Bewertung Kolloquium'!A100</f>
        <v>0</v>
      </c>
      <c r="AL241" s="82" t="e">
        <f>IF('[1]Bewertung Kolloquium'!F100='[1]Bewertung Kolloquium'!$C$9,'[1]Bewertung Kolloquium'!$C100,IF('[1]Bewertung Kolloquium'!F100='[1]Bewertung Kolloquium'!$D$9,'[1]Bewertung Kolloquium'!$D100,IF('[1]Bewertung Kolloquium'!F100='[1]Bewertung Kolloquium'!$E$9,'[1]Bewertung Kolloquium'!$E100,"")))</f>
        <v>#REF!</v>
      </c>
      <c r="AM241" s="83">
        <f>'[1]Bewertung Kolloquium'!F100</f>
        <v>0</v>
      </c>
      <c r="AN241" s="83">
        <f>'[1]Bewertung Kolloquium'!L100</f>
        <v>0</v>
      </c>
      <c r="AO241" s="82"/>
      <c r="AP241" s="82"/>
    </row>
    <row r="242" spans="14:42">
      <c r="N242" s="82"/>
      <c r="O242" s="82"/>
      <c r="P242" s="82"/>
      <c r="Q242" s="82"/>
      <c r="R242" s="82"/>
      <c r="S242" s="82"/>
      <c r="T242" s="82"/>
      <c r="U242" s="82"/>
      <c r="V242" s="82"/>
      <c r="W242" s="82"/>
      <c r="X242" s="82"/>
      <c r="Y242" s="82"/>
      <c r="Z242" s="82"/>
      <c r="AA242" s="82"/>
      <c r="AB242" s="82"/>
      <c r="AC242" s="82"/>
      <c r="AD242" s="82"/>
      <c r="AE242" s="82"/>
      <c r="AF242" s="82"/>
      <c r="AG242" s="82"/>
      <c r="AH242" s="82"/>
      <c r="AI242" s="82"/>
      <c r="AJ242" s="82">
        <f>'[1]Bewertung Kolloquium'!A101</f>
        <v>0</v>
      </c>
      <c r="AK242" s="82">
        <f>'[1]Bewertung Kolloquium'!A101</f>
        <v>0</v>
      </c>
      <c r="AL242" s="82" t="e">
        <f>IF('[1]Bewertung Kolloquium'!F101='[1]Bewertung Kolloquium'!$C$9,'[1]Bewertung Kolloquium'!$C101,IF('[1]Bewertung Kolloquium'!F101='[1]Bewertung Kolloquium'!$D$9,'[1]Bewertung Kolloquium'!$D101,IF('[1]Bewertung Kolloquium'!F101='[1]Bewertung Kolloquium'!$E$9,'[1]Bewertung Kolloquium'!$E101,"")))</f>
        <v>#REF!</v>
      </c>
      <c r="AM242" s="83">
        <f>'[1]Bewertung Kolloquium'!F101</f>
        <v>0</v>
      </c>
      <c r="AN242" s="83">
        <f>'[1]Bewertung Kolloquium'!L101</f>
        <v>0</v>
      </c>
      <c r="AO242" s="82"/>
      <c r="AP242" s="82"/>
    </row>
    <row r="243" spans="14:42">
      <c r="N243" s="82"/>
      <c r="O243" s="82"/>
      <c r="P243" s="82"/>
      <c r="Q243" s="82"/>
      <c r="R243" s="82"/>
      <c r="S243" s="82"/>
      <c r="T243" s="82"/>
      <c r="U243" s="82"/>
      <c r="V243" s="82"/>
      <c r="W243" s="82"/>
      <c r="X243" s="82"/>
      <c r="Y243" s="82"/>
      <c r="Z243" s="82"/>
      <c r="AA243" s="82"/>
      <c r="AB243" s="82"/>
      <c r="AC243" s="82"/>
      <c r="AD243" s="82"/>
      <c r="AE243" s="82"/>
      <c r="AF243" s="82"/>
      <c r="AG243" s="82"/>
      <c r="AH243" s="82"/>
      <c r="AI243" s="82"/>
      <c r="AJ243" s="82">
        <f>'[1]Bewertung Kolloquium'!A102</f>
        <v>0</v>
      </c>
      <c r="AK243" s="82">
        <f>'[1]Bewertung Kolloquium'!A102</f>
        <v>0</v>
      </c>
      <c r="AL243" s="82" t="e">
        <f>IF('[1]Bewertung Kolloquium'!F102='[1]Bewertung Kolloquium'!$C$9,'[1]Bewertung Kolloquium'!$C102,IF('[1]Bewertung Kolloquium'!F102='[1]Bewertung Kolloquium'!$D$9,'[1]Bewertung Kolloquium'!$D102,IF('[1]Bewertung Kolloquium'!F102='[1]Bewertung Kolloquium'!$E$9,'[1]Bewertung Kolloquium'!$E102,"")))</f>
        <v>#REF!</v>
      </c>
      <c r="AM243" s="83">
        <f>'[1]Bewertung Kolloquium'!F102</f>
        <v>0</v>
      </c>
      <c r="AN243" s="83">
        <f>'[1]Bewertung Kolloquium'!L102</f>
        <v>0</v>
      </c>
      <c r="AO243" s="82"/>
      <c r="AP243" s="82"/>
    </row>
    <row r="244" spans="14:42">
      <c r="N244" s="82"/>
      <c r="O244" s="82"/>
      <c r="P244" s="82"/>
      <c r="Q244" s="82"/>
      <c r="R244" s="82"/>
      <c r="S244" s="82"/>
      <c r="T244" s="82"/>
      <c r="U244" s="82"/>
      <c r="V244" s="82"/>
      <c r="W244" s="82"/>
      <c r="X244" s="82"/>
      <c r="Y244" s="82"/>
      <c r="Z244" s="82"/>
      <c r="AA244" s="82"/>
      <c r="AB244" s="82"/>
      <c r="AC244" s="82"/>
      <c r="AD244" s="82"/>
      <c r="AE244" s="82"/>
      <c r="AF244" s="82"/>
      <c r="AG244" s="82"/>
      <c r="AH244" s="82"/>
      <c r="AI244" s="82"/>
      <c r="AJ244" s="82">
        <f>'[1]Bewertung Kolloquium'!A103</f>
        <v>0</v>
      </c>
      <c r="AK244" s="82">
        <f>'[1]Bewertung Kolloquium'!A103</f>
        <v>0</v>
      </c>
      <c r="AL244" s="82" t="e">
        <f>IF('[1]Bewertung Kolloquium'!F103='[1]Bewertung Kolloquium'!$C$9,'[1]Bewertung Kolloquium'!$C103,IF('[1]Bewertung Kolloquium'!F103='[1]Bewertung Kolloquium'!$D$9,'[1]Bewertung Kolloquium'!$D103,IF('[1]Bewertung Kolloquium'!F103='[1]Bewertung Kolloquium'!$E$9,'[1]Bewertung Kolloquium'!$E103,"")))</f>
        <v>#REF!</v>
      </c>
      <c r="AM244" s="83">
        <f>'[1]Bewertung Kolloquium'!F103</f>
        <v>0</v>
      </c>
      <c r="AN244" s="83">
        <f>'[1]Bewertung Kolloquium'!L103</f>
        <v>0</v>
      </c>
      <c r="AO244" s="82"/>
      <c r="AP244" s="82"/>
    </row>
    <row r="245" spans="14:42">
      <c r="N245" s="82"/>
      <c r="O245" s="82"/>
      <c r="P245" s="82"/>
      <c r="Q245" s="82"/>
      <c r="R245" s="82"/>
      <c r="S245" s="82"/>
      <c r="T245" s="82"/>
      <c r="U245" s="82"/>
      <c r="V245" s="82"/>
      <c r="W245" s="82"/>
      <c r="X245" s="82"/>
      <c r="Y245" s="82"/>
      <c r="Z245" s="82"/>
      <c r="AA245" s="82"/>
      <c r="AB245" s="82"/>
      <c r="AC245" s="82"/>
      <c r="AD245" s="82"/>
      <c r="AE245" s="82"/>
      <c r="AF245" s="82"/>
      <c r="AG245" s="82"/>
      <c r="AH245" s="82"/>
      <c r="AI245" s="82"/>
      <c r="AJ245" s="82">
        <f>'[1]Bewertung Kolloquium'!A104</f>
        <v>0</v>
      </c>
      <c r="AK245" s="82">
        <f>'[1]Bewertung Kolloquium'!A104</f>
        <v>0</v>
      </c>
      <c r="AL245" s="82" t="e">
        <f>IF('[1]Bewertung Kolloquium'!F104='[1]Bewertung Kolloquium'!$C$9,'[1]Bewertung Kolloquium'!$C104,IF('[1]Bewertung Kolloquium'!F104='[1]Bewertung Kolloquium'!$D$9,'[1]Bewertung Kolloquium'!$D104,IF('[1]Bewertung Kolloquium'!F104='[1]Bewertung Kolloquium'!$E$9,'[1]Bewertung Kolloquium'!$E104,"")))</f>
        <v>#REF!</v>
      </c>
      <c r="AM245" s="83">
        <f>'[1]Bewertung Kolloquium'!F104</f>
        <v>0</v>
      </c>
      <c r="AN245" s="83">
        <f>'[1]Bewertung Kolloquium'!L104</f>
        <v>0</v>
      </c>
      <c r="AO245" s="82"/>
      <c r="AP245" s="82"/>
    </row>
    <row r="246" spans="14:42">
      <c r="N246" s="82"/>
      <c r="O246" s="82"/>
      <c r="P246" s="82"/>
      <c r="Q246" s="82"/>
      <c r="R246" s="82"/>
      <c r="S246" s="82"/>
      <c r="T246" s="82"/>
      <c r="U246" s="82"/>
      <c r="V246" s="82"/>
      <c r="W246" s="82"/>
      <c r="X246" s="82"/>
      <c r="Y246" s="82"/>
      <c r="Z246" s="82"/>
      <c r="AA246" s="82"/>
      <c r="AB246" s="82"/>
      <c r="AC246" s="82"/>
      <c r="AD246" s="82"/>
      <c r="AE246" s="82"/>
      <c r="AF246" s="82"/>
      <c r="AG246" s="82"/>
      <c r="AH246" s="82"/>
      <c r="AI246" s="82"/>
      <c r="AJ246" s="82">
        <f>'[1]Bewertung Kolloquium'!A105</f>
        <v>0</v>
      </c>
      <c r="AK246" s="82">
        <f>'[1]Bewertung Kolloquium'!A105</f>
        <v>0</v>
      </c>
      <c r="AL246" s="82" t="e">
        <f>IF('[1]Bewertung Kolloquium'!F105='[1]Bewertung Kolloquium'!$C$9,'[1]Bewertung Kolloquium'!$C105,IF('[1]Bewertung Kolloquium'!F105='[1]Bewertung Kolloquium'!$D$9,'[1]Bewertung Kolloquium'!$D105,IF('[1]Bewertung Kolloquium'!F105='[1]Bewertung Kolloquium'!$E$9,'[1]Bewertung Kolloquium'!$E105,"")))</f>
        <v>#REF!</v>
      </c>
      <c r="AM246" s="83">
        <f>'[1]Bewertung Kolloquium'!F105</f>
        <v>0</v>
      </c>
      <c r="AN246" s="83">
        <f>'[1]Bewertung Kolloquium'!L105</f>
        <v>0</v>
      </c>
      <c r="AO246" s="82"/>
      <c r="AP246" s="82"/>
    </row>
    <row r="247" spans="14:42">
      <c r="N247" s="82"/>
      <c r="O247" s="82"/>
      <c r="P247" s="82"/>
      <c r="Q247" s="82"/>
      <c r="R247" s="82"/>
      <c r="S247" s="82"/>
      <c r="T247" s="82"/>
      <c r="U247" s="82"/>
      <c r="V247" s="82"/>
      <c r="W247" s="82"/>
      <c r="X247" s="82"/>
      <c r="Y247" s="82"/>
      <c r="Z247" s="82"/>
      <c r="AA247" s="82"/>
      <c r="AB247" s="82"/>
      <c r="AC247" s="82"/>
      <c r="AD247" s="82"/>
      <c r="AE247" s="82"/>
      <c r="AF247" s="82"/>
      <c r="AG247" s="82"/>
      <c r="AH247" s="82"/>
      <c r="AI247" s="82"/>
      <c r="AJ247" s="82">
        <f>'[1]Bewertung Kolloquium'!A106</f>
        <v>0</v>
      </c>
      <c r="AK247" s="82">
        <f>'[1]Bewertung Kolloquium'!A106</f>
        <v>0</v>
      </c>
      <c r="AL247" s="82" t="e">
        <f>IF('[1]Bewertung Kolloquium'!F106='[1]Bewertung Kolloquium'!$C$9,'[1]Bewertung Kolloquium'!$C106,IF('[1]Bewertung Kolloquium'!F106='[1]Bewertung Kolloquium'!$D$9,'[1]Bewertung Kolloquium'!$D106,IF('[1]Bewertung Kolloquium'!F106='[1]Bewertung Kolloquium'!$E$9,'[1]Bewertung Kolloquium'!$E106,"")))</f>
        <v>#REF!</v>
      </c>
      <c r="AM247" s="83">
        <f>'[1]Bewertung Kolloquium'!F106</f>
        <v>0</v>
      </c>
      <c r="AN247" s="83">
        <f>'[1]Bewertung Kolloquium'!L106</f>
        <v>0</v>
      </c>
      <c r="AO247" s="82"/>
      <c r="AP247" s="82"/>
    </row>
    <row r="248" spans="14:42">
      <c r="N248" s="82"/>
      <c r="O248" s="82"/>
      <c r="P248" s="82"/>
      <c r="Q248" s="82"/>
      <c r="R248" s="82"/>
      <c r="S248" s="82"/>
      <c r="T248" s="82"/>
      <c r="U248" s="82"/>
      <c r="V248" s="82"/>
      <c r="W248" s="82"/>
      <c r="X248" s="82"/>
      <c r="Y248" s="82"/>
      <c r="Z248" s="82"/>
      <c r="AA248" s="82"/>
      <c r="AB248" s="82"/>
      <c r="AC248" s="82"/>
      <c r="AD248" s="82"/>
      <c r="AE248" s="82"/>
      <c r="AF248" s="82"/>
      <c r="AG248" s="82"/>
      <c r="AH248" s="82"/>
      <c r="AI248" s="82"/>
      <c r="AJ248" s="82">
        <f>'[1]Bewertung Kolloquium'!A107</f>
        <v>0</v>
      </c>
      <c r="AK248" s="82">
        <f>'[1]Bewertung Kolloquium'!A107</f>
        <v>0</v>
      </c>
      <c r="AL248" s="82" t="e">
        <f>IF('[1]Bewertung Kolloquium'!F107='[1]Bewertung Kolloquium'!$C$9,'[1]Bewertung Kolloquium'!$C107,IF('[1]Bewertung Kolloquium'!F107='[1]Bewertung Kolloquium'!$D$9,'[1]Bewertung Kolloquium'!$D107,IF('[1]Bewertung Kolloquium'!F107='[1]Bewertung Kolloquium'!$E$9,'[1]Bewertung Kolloquium'!$E107,"")))</f>
        <v>#REF!</v>
      </c>
      <c r="AM248" s="83">
        <f>'[1]Bewertung Kolloquium'!F107</f>
        <v>0</v>
      </c>
      <c r="AN248" s="83">
        <f>'[1]Bewertung Kolloquium'!L107</f>
        <v>0</v>
      </c>
      <c r="AO248" s="82"/>
      <c r="AP248" s="82"/>
    </row>
    <row r="249" spans="14:42">
      <c r="N249" s="82"/>
      <c r="O249" s="82"/>
      <c r="P249" s="82"/>
      <c r="Q249" s="82"/>
      <c r="R249" s="82"/>
      <c r="S249" s="82"/>
      <c r="T249" s="82"/>
      <c r="U249" s="82"/>
      <c r="V249" s="82"/>
      <c r="W249" s="82"/>
      <c r="X249" s="82"/>
      <c r="Y249" s="82"/>
      <c r="Z249" s="82"/>
      <c r="AA249" s="82"/>
      <c r="AB249" s="82"/>
      <c r="AC249" s="82"/>
      <c r="AD249" s="82"/>
      <c r="AE249" s="82"/>
      <c r="AF249" s="82"/>
      <c r="AG249" s="82"/>
      <c r="AH249" s="82"/>
      <c r="AI249" s="82"/>
      <c r="AJ249" s="82">
        <f>'[1]Bewertung Kolloquium'!A108</f>
        <v>0</v>
      </c>
      <c r="AK249" s="82">
        <f>'[1]Bewertung Kolloquium'!A108</f>
        <v>0</v>
      </c>
      <c r="AL249" s="82" t="e">
        <f>IF('[1]Bewertung Kolloquium'!F108='[1]Bewertung Kolloquium'!$C$9,'[1]Bewertung Kolloquium'!$C108,IF('[1]Bewertung Kolloquium'!F108='[1]Bewertung Kolloquium'!$D$9,'[1]Bewertung Kolloquium'!$D108,IF('[1]Bewertung Kolloquium'!F108='[1]Bewertung Kolloquium'!$E$9,'[1]Bewertung Kolloquium'!$E108,"")))</f>
        <v>#REF!</v>
      </c>
      <c r="AM249" s="83">
        <f>'[1]Bewertung Kolloquium'!F108</f>
        <v>0</v>
      </c>
      <c r="AN249" s="83">
        <f>'[1]Bewertung Kolloquium'!L108</f>
        <v>0</v>
      </c>
      <c r="AO249" s="82"/>
      <c r="AP249" s="82"/>
    </row>
    <row r="250" spans="14:42">
      <c r="N250" s="82"/>
      <c r="O250" s="82"/>
      <c r="P250" s="82"/>
      <c r="Q250" s="82"/>
      <c r="R250" s="82"/>
      <c r="S250" s="82"/>
      <c r="T250" s="82"/>
      <c r="U250" s="82"/>
      <c r="V250" s="82"/>
      <c r="W250" s="82"/>
      <c r="X250" s="82"/>
      <c r="Y250" s="82"/>
      <c r="Z250" s="82"/>
      <c r="AA250" s="82"/>
      <c r="AB250" s="82"/>
      <c r="AC250" s="82"/>
      <c r="AD250" s="82"/>
      <c r="AE250" s="82"/>
      <c r="AF250" s="82"/>
      <c r="AG250" s="82"/>
      <c r="AH250" s="82"/>
      <c r="AI250" s="82"/>
      <c r="AJ250" s="82">
        <f>'[1]Bewertung Kolloquium'!A109</f>
        <v>0</v>
      </c>
      <c r="AK250" s="82">
        <f>'[1]Bewertung Kolloquium'!A109</f>
        <v>0</v>
      </c>
      <c r="AL250" s="82" t="e">
        <f>IF('[1]Bewertung Kolloquium'!F109='[1]Bewertung Kolloquium'!$C$9,'[1]Bewertung Kolloquium'!$C109,IF('[1]Bewertung Kolloquium'!F109='[1]Bewertung Kolloquium'!$D$9,'[1]Bewertung Kolloquium'!$D109,IF('[1]Bewertung Kolloquium'!F109='[1]Bewertung Kolloquium'!$E$9,'[1]Bewertung Kolloquium'!$E109,"")))</f>
        <v>#REF!</v>
      </c>
      <c r="AM250" s="83">
        <f>'[1]Bewertung Kolloquium'!F109</f>
        <v>0</v>
      </c>
      <c r="AN250" s="83">
        <f>'[1]Bewertung Kolloquium'!L109</f>
        <v>0</v>
      </c>
      <c r="AO250" s="82"/>
      <c r="AP250" s="82"/>
    </row>
    <row r="251" spans="14:42">
      <c r="N251" s="82"/>
      <c r="O251" s="82"/>
      <c r="P251" s="82"/>
      <c r="Q251" s="82"/>
      <c r="R251" s="82"/>
      <c r="S251" s="82"/>
      <c r="T251" s="82"/>
      <c r="U251" s="82"/>
      <c r="V251" s="82"/>
      <c r="W251" s="82"/>
      <c r="X251" s="82"/>
      <c r="Y251" s="82"/>
      <c r="Z251" s="82"/>
      <c r="AA251" s="82"/>
      <c r="AB251" s="82"/>
      <c r="AC251" s="82"/>
      <c r="AD251" s="82"/>
      <c r="AE251" s="82"/>
      <c r="AF251" s="82"/>
      <c r="AG251" s="82"/>
      <c r="AH251" s="82"/>
      <c r="AI251" s="82"/>
      <c r="AJ251" s="82">
        <f>'[1]Bewertung Kolloquium'!A110</f>
        <v>0</v>
      </c>
      <c r="AK251" s="82">
        <f>'[1]Bewertung Kolloquium'!A110</f>
        <v>0</v>
      </c>
      <c r="AL251" s="82" t="e">
        <f>IF('[1]Bewertung Kolloquium'!F110='[1]Bewertung Kolloquium'!$C$9,'[1]Bewertung Kolloquium'!$C110,IF('[1]Bewertung Kolloquium'!F110='[1]Bewertung Kolloquium'!$D$9,'[1]Bewertung Kolloquium'!$D110,IF('[1]Bewertung Kolloquium'!F110='[1]Bewertung Kolloquium'!$E$9,'[1]Bewertung Kolloquium'!$E110,"")))</f>
        <v>#REF!</v>
      </c>
      <c r="AM251" s="83">
        <f>'[1]Bewertung Kolloquium'!F110</f>
        <v>0</v>
      </c>
      <c r="AN251" s="83">
        <f>'[1]Bewertung Kolloquium'!L110</f>
        <v>0</v>
      </c>
      <c r="AO251" s="82"/>
      <c r="AP251" s="82"/>
    </row>
    <row r="252" spans="14:42">
      <c r="N252" s="82"/>
      <c r="O252" s="82"/>
      <c r="P252" s="82"/>
      <c r="Q252" s="82"/>
      <c r="R252" s="82"/>
      <c r="S252" s="82"/>
      <c r="T252" s="82"/>
      <c r="U252" s="82"/>
      <c r="V252" s="82"/>
      <c r="W252" s="82"/>
      <c r="X252" s="82"/>
      <c r="Y252" s="82"/>
      <c r="Z252" s="82"/>
      <c r="AA252" s="82"/>
      <c r="AB252" s="82"/>
      <c r="AC252" s="82"/>
      <c r="AD252" s="82"/>
      <c r="AE252" s="82"/>
      <c r="AF252" s="82"/>
      <c r="AG252" s="82"/>
      <c r="AH252" s="82"/>
      <c r="AI252" s="82"/>
      <c r="AJ252" s="82">
        <f>'[1]Bewertung Kolloquium'!A111</f>
        <v>0</v>
      </c>
      <c r="AK252" s="82">
        <f>'[1]Bewertung Kolloquium'!A111</f>
        <v>0</v>
      </c>
      <c r="AL252" s="82" t="e">
        <f>IF('[1]Bewertung Kolloquium'!F111='[1]Bewertung Kolloquium'!$C$9,'[1]Bewertung Kolloquium'!$C111,IF('[1]Bewertung Kolloquium'!F111='[1]Bewertung Kolloquium'!$D$9,'[1]Bewertung Kolloquium'!$D111,IF('[1]Bewertung Kolloquium'!F111='[1]Bewertung Kolloquium'!$E$9,'[1]Bewertung Kolloquium'!$E111,"")))</f>
        <v>#REF!</v>
      </c>
      <c r="AM252" s="83">
        <f>'[1]Bewertung Kolloquium'!F111</f>
        <v>0</v>
      </c>
      <c r="AN252" s="83">
        <f>'[1]Bewertung Kolloquium'!L111</f>
        <v>0</v>
      </c>
      <c r="AO252" s="82"/>
      <c r="AP252" s="82"/>
    </row>
    <row r="253" spans="14:42">
      <c r="N253" s="82"/>
      <c r="O253" s="82"/>
      <c r="P253" s="82"/>
      <c r="Q253" s="82"/>
      <c r="R253" s="82"/>
      <c r="S253" s="82"/>
      <c r="T253" s="82"/>
      <c r="U253" s="82"/>
      <c r="V253" s="82"/>
      <c r="W253" s="82"/>
      <c r="X253" s="82"/>
      <c r="Y253" s="82"/>
      <c r="Z253" s="82"/>
      <c r="AA253" s="82"/>
      <c r="AB253" s="82"/>
      <c r="AC253" s="82"/>
      <c r="AD253" s="82"/>
      <c r="AE253" s="82"/>
      <c r="AF253" s="82"/>
      <c r="AG253" s="82"/>
      <c r="AH253" s="82"/>
      <c r="AI253" s="82"/>
      <c r="AJ253" s="82">
        <f>'[1]Bewertung Kolloquium'!A112</f>
        <v>0</v>
      </c>
      <c r="AK253" s="82">
        <f>'[1]Bewertung Kolloquium'!A112</f>
        <v>0</v>
      </c>
      <c r="AL253" s="82" t="e">
        <f>IF('[1]Bewertung Kolloquium'!F112='[1]Bewertung Kolloquium'!$C$9,'[1]Bewertung Kolloquium'!$C112,IF('[1]Bewertung Kolloquium'!F112='[1]Bewertung Kolloquium'!$D$9,'[1]Bewertung Kolloquium'!$D112,IF('[1]Bewertung Kolloquium'!F112='[1]Bewertung Kolloquium'!$E$9,'[1]Bewertung Kolloquium'!$E112,"")))</f>
        <v>#REF!</v>
      </c>
      <c r="AM253" s="83">
        <f>'[1]Bewertung Kolloquium'!F112</f>
        <v>0</v>
      </c>
      <c r="AN253" s="83">
        <f>'[1]Bewertung Kolloquium'!L112</f>
        <v>0</v>
      </c>
      <c r="AO253" s="82"/>
      <c r="AP253" s="82"/>
    </row>
    <row r="254" spans="14:42">
      <c r="N254" s="82"/>
      <c r="O254" s="82"/>
      <c r="P254" s="82"/>
      <c r="Q254" s="82"/>
      <c r="R254" s="82"/>
      <c r="S254" s="82"/>
      <c r="T254" s="82"/>
      <c r="U254" s="82"/>
      <c r="V254" s="82"/>
      <c r="W254" s="82"/>
      <c r="X254" s="82"/>
      <c r="Y254" s="82"/>
      <c r="Z254" s="82"/>
      <c r="AA254" s="82"/>
      <c r="AB254" s="82"/>
      <c r="AC254" s="82"/>
      <c r="AD254" s="82"/>
      <c r="AE254" s="82"/>
      <c r="AF254" s="82"/>
      <c r="AG254" s="82"/>
      <c r="AH254" s="82"/>
      <c r="AI254" s="82"/>
      <c r="AJ254" s="82">
        <f>'[1]Bewertung Kolloquium'!A113</f>
        <v>0</v>
      </c>
      <c r="AK254" s="82">
        <f>'[1]Bewertung Kolloquium'!A113</f>
        <v>0</v>
      </c>
      <c r="AL254" s="82" t="e">
        <f>IF('[1]Bewertung Kolloquium'!F113='[1]Bewertung Kolloquium'!$C$9,'[1]Bewertung Kolloquium'!$C113,IF('[1]Bewertung Kolloquium'!F113='[1]Bewertung Kolloquium'!$D$9,'[1]Bewertung Kolloquium'!$D113,IF('[1]Bewertung Kolloquium'!F113='[1]Bewertung Kolloquium'!$E$9,'[1]Bewertung Kolloquium'!$E113,"")))</f>
        <v>#REF!</v>
      </c>
      <c r="AM254" s="83">
        <f>'[1]Bewertung Kolloquium'!F113</f>
        <v>0</v>
      </c>
      <c r="AN254" s="83">
        <f>'[1]Bewertung Kolloquium'!L113</f>
        <v>0</v>
      </c>
      <c r="AO254" s="82"/>
      <c r="AP254" s="82"/>
    </row>
    <row r="255" spans="14:42">
      <c r="N255" s="82"/>
      <c r="O255" s="82"/>
      <c r="P255" s="82"/>
      <c r="Q255" s="82"/>
      <c r="R255" s="82"/>
      <c r="S255" s="82"/>
      <c r="T255" s="82"/>
      <c r="U255" s="82"/>
      <c r="V255" s="82"/>
      <c r="W255" s="82"/>
      <c r="X255" s="82"/>
      <c r="Y255" s="82"/>
      <c r="Z255" s="82"/>
      <c r="AA255" s="82"/>
      <c r="AB255" s="82"/>
      <c r="AC255" s="82"/>
      <c r="AD255" s="82"/>
      <c r="AE255" s="82"/>
      <c r="AF255" s="82"/>
      <c r="AG255" s="82"/>
      <c r="AH255" s="82"/>
      <c r="AI255" s="82"/>
      <c r="AJ255" s="82">
        <f>'[1]Bewertung Kolloquium'!A114</f>
        <v>0</v>
      </c>
      <c r="AK255" s="82">
        <f>'[1]Bewertung Kolloquium'!A114</f>
        <v>0</v>
      </c>
      <c r="AL255" s="82" t="e">
        <f>IF('[1]Bewertung Kolloquium'!F114='[1]Bewertung Kolloquium'!$C$9,'[1]Bewertung Kolloquium'!$C114,IF('[1]Bewertung Kolloquium'!F114='[1]Bewertung Kolloquium'!$D$9,'[1]Bewertung Kolloquium'!$D114,IF('[1]Bewertung Kolloquium'!F114='[1]Bewertung Kolloquium'!$E$9,'[1]Bewertung Kolloquium'!$E114,"")))</f>
        <v>#REF!</v>
      </c>
      <c r="AM255" s="83">
        <f>'[1]Bewertung Kolloquium'!F114</f>
        <v>0</v>
      </c>
      <c r="AN255" s="83">
        <f>'[1]Bewertung Kolloquium'!L114</f>
        <v>0</v>
      </c>
      <c r="AO255" s="82"/>
      <c r="AP255" s="82"/>
    </row>
    <row r="256" spans="14:42">
      <c r="N256" s="82"/>
      <c r="O256" s="82"/>
      <c r="P256" s="82"/>
      <c r="Q256" s="82"/>
      <c r="R256" s="82"/>
      <c r="S256" s="82"/>
      <c r="T256" s="82"/>
      <c r="U256" s="82"/>
      <c r="V256" s="82"/>
      <c r="W256" s="82"/>
      <c r="X256" s="82"/>
      <c r="Y256" s="82"/>
      <c r="Z256" s="82"/>
      <c r="AA256" s="82"/>
      <c r="AB256" s="82"/>
      <c r="AC256" s="82"/>
      <c r="AD256" s="82"/>
      <c r="AE256" s="82"/>
      <c r="AF256" s="82"/>
      <c r="AG256" s="82"/>
      <c r="AH256" s="82"/>
      <c r="AI256" s="82"/>
      <c r="AJ256" s="82">
        <f>'[1]Bewertung Kolloquium'!A115</f>
        <v>0</v>
      </c>
      <c r="AK256" s="82">
        <f>'[1]Bewertung Kolloquium'!A115</f>
        <v>0</v>
      </c>
      <c r="AL256" s="82" t="e">
        <f>IF('[1]Bewertung Kolloquium'!F115='[1]Bewertung Kolloquium'!$C$9,'[1]Bewertung Kolloquium'!$C115,IF('[1]Bewertung Kolloquium'!F115='[1]Bewertung Kolloquium'!$D$9,'[1]Bewertung Kolloquium'!$D115,IF('[1]Bewertung Kolloquium'!F115='[1]Bewertung Kolloquium'!$E$9,'[1]Bewertung Kolloquium'!$E115,"")))</f>
        <v>#REF!</v>
      </c>
      <c r="AM256" s="83">
        <f>'[1]Bewertung Kolloquium'!F115</f>
        <v>0</v>
      </c>
      <c r="AN256" s="83">
        <f>'[1]Bewertung Kolloquium'!L115</f>
        <v>0</v>
      </c>
      <c r="AO256" s="82"/>
      <c r="AP256" s="82"/>
    </row>
    <row r="257" spans="14:42">
      <c r="N257" s="82"/>
      <c r="O257" s="82"/>
      <c r="P257" s="82"/>
      <c r="Q257" s="82"/>
      <c r="R257" s="82"/>
      <c r="S257" s="82"/>
      <c r="T257" s="82"/>
      <c r="U257" s="82"/>
      <c r="V257" s="82"/>
      <c r="W257" s="82"/>
      <c r="X257" s="82"/>
      <c r="Y257" s="82"/>
      <c r="Z257" s="82"/>
      <c r="AA257" s="82"/>
      <c r="AB257" s="82"/>
      <c r="AC257" s="82"/>
      <c r="AD257" s="82"/>
      <c r="AE257" s="82"/>
      <c r="AF257" s="82"/>
      <c r="AG257" s="82"/>
      <c r="AH257" s="82"/>
      <c r="AI257" s="82"/>
      <c r="AJ257" s="82">
        <f>'[1]Bewertung Kolloquium'!A116</f>
        <v>0</v>
      </c>
      <c r="AK257" s="82">
        <f>'[1]Bewertung Kolloquium'!A116</f>
        <v>0</v>
      </c>
      <c r="AL257" s="82" t="e">
        <f>IF('[1]Bewertung Kolloquium'!F116='[1]Bewertung Kolloquium'!$C$9,'[1]Bewertung Kolloquium'!$C116,IF('[1]Bewertung Kolloquium'!F116='[1]Bewertung Kolloquium'!$D$9,'[1]Bewertung Kolloquium'!$D116,IF('[1]Bewertung Kolloquium'!F116='[1]Bewertung Kolloquium'!$E$9,'[1]Bewertung Kolloquium'!$E116,"")))</f>
        <v>#REF!</v>
      </c>
      <c r="AM257" s="83">
        <f>'[1]Bewertung Kolloquium'!F116</f>
        <v>0</v>
      </c>
      <c r="AN257" s="83">
        <f>'[1]Bewertung Kolloquium'!L116</f>
        <v>0</v>
      </c>
      <c r="AO257" s="82"/>
      <c r="AP257" s="82"/>
    </row>
    <row r="258" spans="14:42">
      <c r="N258" s="82"/>
      <c r="O258" s="82"/>
      <c r="P258" s="82"/>
      <c r="Q258" s="82"/>
      <c r="R258" s="82"/>
      <c r="S258" s="82"/>
      <c r="T258" s="82"/>
      <c r="U258" s="82"/>
      <c r="V258" s="82"/>
      <c r="W258" s="82"/>
      <c r="X258" s="82"/>
      <c r="Y258" s="82"/>
      <c r="Z258" s="82"/>
      <c r="AA258" s="82"/>
      <c r="AB258" s="82"/>
      <c r="AC258" s="82"/>
      <c r="AD258" s="82"/>
      <c r="AE258" s="82"/>
      <c r="AF258" s="82"/>
      <c r="AG258" s="82"/>
      <c r="AH258" s="82"/>
      <c r="AI258" s="82"/>
      <c r="AJ258" s="82">
        <f>'[1]Bewertung Kolloquium'!A117</f>
        <v>0</v>
      </c>
      <c r="AK258" s="82">
        <f>'[1]Bewertung Kolloquium'!A117</f>
        <v>0</v>
      </c>
      <c r="AL258" s="82" t="e">
        <f>IF('[1]Bewertung Kolloquium'!F117='[1]Bewertung Kolloquium'!$C$9,'[1]Bewertung Kolloquium'!$C117,IF('[1]Bewertung Kolloquium'!F117='[1]Bewertung Kolloquium'!$D$9,'[1]Bewertung Kolloquium'!$D117,IF('[1]Bewertung Kolloquium'!F117='[1]Bewertung Kolloquium'!$E$9,'[1]Bewertung Kolloquium'!$E117,"")))</f>
        <v>#REF!</v>
      </c>
      <c r="AM258" s="83">
        <f>'[1]Bewertung Kolloquium'!F117</f>
        <v>0</v>
      </c>
      <c r="AN258" s="83">
        <f>'[1]Bewertung Kolloquium'!L117</f>
        <v>0</v>
      </c>
      <c r="AO258" s="82"/>
      <c r="AP258" s="82"/>
    </row>
    <row r="259" spans="14:42">
      <c r="N259" s="82"/>
      <c r="O259" s="82"/>
      <c r="P259" s="82"/>
      <c r="Q259" s="82"/>
      <c r="R259" s="82"/>
      <c r="S259" s="82"/>
      <c r="T259" s="82"/>
      <c r="U259" s="82"/>
      <c r="V259" s="82"/>
      <c r="W259" s="82"/>
      <c r="X259" s="82"/>
      <c r="Y259" s="82"/>
      <c r="Z259" s="82"/>
      <c r="AA259" s="82"/>
      <c r="AB259" s="82"/>
      <c r="AC259" s="82"/>
      <c r="AD259" s="82"/>
      <c r="AE259" s="82"/>
      <c r="AF259" s="82"/>
      <c r="AG259" s="82"/>
      <c r="AH259" s="82"/>
      <c r="AI259" s="82"/>
      <c r="AJ259" s="82">
        <f>'[1]Bewertung Kolloquium'!A118</f>
        <v>0</v>
      </c>
      <c r="AK259" s="82">
        <f>'[1]Bewertung Kolloquium'!A118</f>
        <v>0</v>
      </c>
      <c r="AL259" s="82" t="e">
        <f>IF('[1]Bewertung Kolloquium'!F118='[1]Bewertung Kolloquium'!$C$9,'[1]Bewertung Kolloquium'!$C118,IF('[1]Bewertung Kolloquium'!F118='[1]Bewertung Kolloquium'!$D$9,'[1]Bewertung Kolloquium'!$D118,IF('[1]Bewertung Kolloquium'!F118='[1]Bewertung Kolloquium'!$E$9,'[1]Bewertung Kolloquium'!$E118,"")))</f>
        <v>#REF!</v>
      </c>
      <c r="AM259" s="83">
        <f>'[1]Bewertung Kolloquium'!F118</f>
        <v>0</v>
      </c>
      <c r="AN259" s="83">
        <f>'[1]Bewertung Kolloquium'!L118</f>
        <v>0</v>
      </c>
      <c r="AO259" s="82"/>
      <c r="AP259" s="82"/>
    </row>
    <row r="260" spans="14:42">
      <c r="N260" s="82"/>
      <c r="O260" s="82"/>
      <c r="P260" s="82"/>
      <c r="Q260" s="82"/>
      <c r="R260" s="82"/>
      <c r="S260" s="82"/>
      <c r="T260" s="82"/>
      <c r="U260" s="82"/>
      <c r="V260" s="82"/>
      <c r="W260" s="82"/>
      <c r="X260" s="82"/>
      <c r="Y260" s="82"/>
      <c r="Z260" s="82"/>
      <c r="AA260" s="82"/>
      <c r="AB260" s="82"/>
      <c r="AC260" s="82"/>
      <c r="AD260" s="82"/>
      <c r="AE260" s="82"/>
      <c r="AF260" s="82"/>
      <c r="AG260" s="82"/>
      <c r="AH260" s="82"/>
      <c r="AI260" s="82"/>
      <c r="AJ260" s="82">
        <f>'[1]Bewertung Kolloquium'!A119</f>
        <v>0</v>
      </c>
      <c r="AK260" s="82">
        <f>'[1]Bewertung Kolloquium'!A119</f>
        <v>0</v>
      </c>
      <c r="AL260" s="82" t="e">
        <f>IF('[1]Bewertung Kolloquium'!F119='[1]Bewertung Kolloquium'!$C$9,'[1]Bewertung Kolloquium'!$C119,IF('[1]Bewertung Kolloquium'!F119='[1]Bewertung Kolloquium'!$D$9,'[1]Bewertung Kolloquium'!$D119,IF('[1]Bewertung Kolloquium'!F119='[1]Bewertung Kolloquium'!$E$9,'[1]Bewertung Kolloquium'!$E119,"")))</f>
        <v>#REF!</v>
      </c>
      <c r="AM260" s="83">
        <f>'[1]Bewertung Kolloquium'!F119</f>
        <v>0</v>
      </c>
      <c r="AN260" s="83">
        <f>'[1]Bewertung Kolloquium'!L119</f>
        <v>0</v>
      </c>
      <c r="AO260" s="82"/>
      <c r="AP260" s="82"/>
    </row>
    <row r="261" spans="14:42">
      <c r="N261" s="82"/>
      <c r="O261" s="82"/>
      <c r="P261" s="82"/>
      <c r="Q261" s="82"/>
      <c r="R261" s="82"/>
      <c r="S261" s="82"/>
      <c r="T261" s="82"/>
      <c r="U261" s="82"/>
      <c r="V261" s="82"/>
      <c r="W261" s="82"/>
      <c r="X261" s="82"/>
      <c r="Y261" s="82"/>
      <c r="Z261" s="82"/>
      <c r="AA261" s="82"/>
      <c r="AB261" s="82"/>
      <c r="AC261" s="82"/>
      <c r="AD261" s="82"/>
      <c r="AE261" s="82"/>
      <c r="AF261" s="82"/>
      <c r="AG261" s="82"/>
      <c r="AH261" s="82"/>
      <c r="AI261" s="82"/>
      <c r="AJ261" s="82">
        <f>'[1]Bewertung Kolloquium'!A120</f>
        <v>0</v>
      </c>
      <c r="AK261" s="82">
        <f>'[1]Bewertung Kolloquium'!A120</f>
        <v>0</v>
      </c>
      <c r="AL261" s="82" t="e">
        <f>IF('[1]Bewertung Kolloquium'!F120='[1]Bewertung Kolloquium'!$C$9,'[1]Bewertung Kolloquium'!$C120,IF('[1]Bewertung Kolloquium'!F120='[1]Bewertung Kolloquium'!$D$9,'[1]Bewertung Kolloquium'!$D120,IF('[1]Bewertung Kolloquium'!F120='[1]Bewertung Kolloquium'!$E$9,'[1]Bewertung Kolloquium'!$E120,"")))</f>
        <v>#REF!</v>
      </c>
      <c r="AM261" s="83">
        <f>'[1]Bewertung Kolloquium'!F120</f>
        <v>0</v>
      </c>
      <c r="AN261" s="83">
        <f>'[1]Bewertung Kolloquium'!L120</f>
        <v>0</v>
      </c>
      <c r="AO261" s="82"/>
      <c r="AP261" s="82"/>
    </row>
    <row r="262" spans="14:42">
      <c r="N262" s="82"/>
      <c r="O262" s="82"/>
      <c r="P262" s="82"/>
      <c r="Q262" s="82"/>
      <c r="R262" s="82"/>
      <c r="S262" s="82"/>
      <c r="T262" s="82"/>
      <c r="U262" s="82"/>
      <c r="V262" s="82"/>
      <c r="W262" s="82"/>
      <c r="X262" s="82"/>
      <c r="Y262" s="82"/>
      <c r="Z262" s="82"/>
      <c r="AA262" s="82"/>
      <c r="AB262" s="82"/>
      <c r="AC262" s="82"/>
      <c r="AD262" s="82"/>
      <c r="AE262" s="82"/>
      <c r="AF262" s="82"/>
      <c r="AG262" s="82"/>
      <c r="AH262" s="82"/>
      <c r="AI262" s="82"/>
      <c r="AJ262" s="82">
        <f>'[1]Bewertung Kolloquium'!A121</f>
        <v>0</v>
      </c>
      <c r="AK262" s="82">
        <f>'[1]Bewertung Kolloquium'!A121</f>
        <v>0</v>
      </c>
      <c r="AL262" s="82" t="e">
        <f>IF('[1]Bewertung Kolloquium'!F121='[1]Bewertung Kolloquium'!$C$9,'[1]Bewertung Kolloquium'!$C121,IF('[1]Bewertung Kolloquium'!F121='[1]Bewertung Kolloquium'!$D$9,'[1]Bewertung Kolloquium'!$D121,IF('[1]Bewertung Kolloquium'!F121='[1]Bewertung Kolloquium'!$E$9,'[1]Bewertung Kolloquium'!$E121,"")))</f>
        <v>#REF!</v>
      </c>
      <c r="AM262" s="83">
        <f>'[1]Bewertung Kolloquium'!F121</f>
        <v>0</v>
      </c>
      <c r="AN262" s="83">
        <f>'[1]Bewertung Kolloquium'!L121</f>
        <v>0</v>
      </c>
      <c r="AO262" s="82"/>
      <c r="AP262" s="82"/>
    </row>
    <row r="263" spans="14:42">
      <c r="N263" s="82"/>
      <c r="O263" s="82"/>
      <c r="P263" s="82"/>
      <c r="Q263" s="82"/>
      <c r="R263" s="82"/>
      <c r="S263" s="82"/>
      <c r="T263" s="82"/>
      <c r="U263" s="82"/>
      <c r="V263" s="82"/>
      <c r="W263" s="82"/>
      <c r="X263" s="82"/>
      <c r="Y263" s="82"/>
      <c r="Z263" s="82"/>
      <c r="AA263" s="82"/>
      <c r="AB263" s="82"/>
      <c r="AC263" s="82"/>
      <c r="AD263" s="82"/>
      <c r="AE263" s="82"/>
      <c r="AF263" s="82"/>
      <c r="AG263" s="82"/>
      <c r="AH263" s="82"/>
      <c r="AI263" s="82"/>
      <c r="AJ263" s="82">
        <f>'[1]Bewertung Kolloquium'!A122</f>
        <v>0</v>
      </c>
      <c r="AK263" s="82">
        <f>'[1]Bewertung Kolloquium'!A122</f>
        <v>0</v>
      </c>
      <c r="AL263" s="82" t="e">
        <f>IF('[1]Bewertung Kolloquium'!F122='[1]Bewertung Kolloquium'!$C$9,'[1]Bewertung Kolloquium'!$C122,IF('[1]Bewertung Kolloquium'!F122='[1]Bewertung Kolloquium'!$D$9,'[1]Bewertung Kolloquium'!$D122,IF('[1]Bewertung Kolloquium'!F122='[1]Bewertung Kolloquium'!$E$9,'[1]Bewertung Kolloquium'!$E122,"")))</f>
        <v>#REF!</v>
      </c>
      <c r="AM263" s="83">
        <f>'[1]Bewertung Kolloquium'!F122</f>
        <v>0</v>
      </c>
      <c r="AN263" s="83">
        <f>'[1]Bewertung Kolloquium'!L122</f>
        <v>0</v>
      </c>
      <c r="AO263" s="82"/>
      <c r="AP263" s="82"/>
    </row>
    <row r="264" spans="14:42">
      <c r="N264" s="82"/>
      <c r="O264" s="82"/>
      <c r="P264" s="82"/>
      <c r="Q264" s="82"/>
      <c r="R264" s="82"/>
      <c r="S264" s="82"/>
      <c r="T264" s="82"/>
      <c r="U264" s="82"/>
      <c r="V264" s="82"/>
      <c r="W264" s="82"/>
      <c r="X264" s="82"/>
      <c r="Y264" s="82"/>
      <c r="Z264" s="82"/>
      <c r="AA264" s="82"/>
      <c r="AB264" s="82"/>
      <c r="AC264" s="82"/>
      <c r="AD264" s="82"/>
      <c r="AE264" s="82"/>
      <c r="AF264" s="82"/>
      <c r="AG264" s="82"/>
      <c r="AH264" s="82"/>
      <c r="AI264" s="82"/>
      <c r="AJ264" s="82">
        <f>'[1]Bewertung Kolloquium'!A123</f>
        <v>0</v>
      </c>
      <c r="AK264" s="82">
        <f>'[1]Bewertung Kolloquium'!A123</f>
        <v>0</v>
      </c>
      <c r="AL264" s="82" t="e">
        <f>IF('[1]Bewertung Kolloquium'!F123='[1]Bewertung Kolloquium'!$C$9,'[1]Bewertung Kolloquium'!$C123,IF('[1]Bewertung Kolloquium'!F123='[1]Bewertung Kolloquium'!$D$9,'[1]Bewertung Kolloquium'!$D123,IF('[1]Bewertung Kolloquium'!F123='[1]Bewertung Kolloquium'!$E$9,'[1]Bewertung Kolloquium'!$E123,"")))</f>
        <v>#REF!</v>
      </c>
      <c r="AM264" s="83">
        <f>'[1]Bewertung Kolloquium'!F123</f>
        <v>0</v>
      </c>
      <c r="AN264" s="83">
        <f>'[1]Bewertung Kolloquium'!L123</f>
        <v>0</v>
      </c>
      <c r="AO264" s="82"/>
      <c r="AP264" s="82"/>
    </row>
    <row r="265" spans="14:42">
      <c r="N265" s="82"/>
      <c r="O265" s="82"/>
      <c r="P265" s="82"/>
      <c r="Q265" s="82"/>
      <c r="R265" s="82"/>
      <c r="S265" s="82"/>
      <c r="T265" s="82"/>
      <c r="U265" s="82"/>
      <c r="V265" s="82"/>
      <c r="W265" s="82"/>
      <c r="X265" s="82"/>
      <c r="Y265" s="82"/>
      <c r="Z265" s="82"/>
      <c r="AA265" s="82"/>
      <c r="AB265" s="82"/>
      <c r="AC265" s="82"/>
      <c r="AD265" s="82"/>
      <c r="AE265" s="82"/>
      <c r="AF265" s="82"/>
      <c r="AG265" s="82"/>
      <c r="AH265" s="82"/>
      <c r="AI265" s="82"/>
      <c r="AJ265" s="82">
        <f>'[1]Bewertung Kolloquium'!A124</f>
        <v>0</v>
      </c>
      <c r="AK265" s="82">
        <f>'[1]Bewertung Kolloquium'!A124</f>
        <v>0</v>
      </c>
      <c r="AL265" s="82" t="e">
        <f>IF('[1]Bewertung Kolloquium'!F124='[1]Bewertung Kolloquium'!$C$9,'[1]Bewertung Kolloquium'!$C124,IF('[1]Bewertung Kolloquium'!F124='[1]Bewertung Kolloquium'!$D$9,'[1]Bewertung Kolloquium'!$D124,IF('[1]Bewertung Kolloquium'!F124='[1]Bewertung Kolloquium'!$E$9,'[1]Bewertung Kolloquium'!$E124,"")))</f>
        <v>#REF!</v>
      </c>
      <c r="AM265" s="83">
        <f>'[1]Bewertung Kolloquium'!F124</f>
        <v>0</v>
      </c>
      <c r="AN265" s="83">
        <f>'[1]Bewertung Kolloquium'!L124</f>
        <v>0</v>
      </c>
      <c r="AO265" s="82"/>
      <c r="AP265" s="82"/>
    </row>
    <row r="266" spans="14:42">
      <c r="N266" s="82"/>
      <c r="O266" s="82"/>
      <c r="P266" s="82"/>
      <c r="Q266" s="82"/>
      <c r="R266" s="82"/>
      <c r="S266" s="82"/>
      <c r="T266" s="82"/>
      <c r="U266" s="82"/>
      <c r="V266" s="82"/>
      <c r="W266" s="82"/>
      <c r="X266" s="82"/>
      <c r="Y266" s="82"/>
      <c r="Z266" s="82"/>
      <c r="AA266" s="82"/>
      <c r="AB266" s="82"/>
      <c r="AC266" s="82"/>
      <c r="AD266" s="82"/>
      <c r="AE266" s="82"/>
      <c r="AF266" s="82"/>
      <c r="AG266" s="82"/>
      <c r="AH266" s="82"/>
      <c r="AI266" s="82"/>
      <c r="AJ266" s="82">
        <f>'[1]Bewertung Kolloquium'!A125</f>
        <v>0</v>
      </c>
      <c r="AK266" s="82">
        <f>'[1]Bewertung Kolloquium'!A125</f>
        <v>0</v>
      </c>
      <c r="AL266" s="82" t="e">
        <f>IF('[1]Bewertung Kolloquium'!F125='[1]Bewertung Kolloquium'!$C$9,'[1]Bewertung Kolloquium'!$C125,IF('[1]Bewertung Kolloquium'!F125='[1]Bewertung Kolloquium'!$D$9,'[1]Bewertung Kolloquium'!$D125,IF('[1]Bewertung Kolloquium'!F125='[1]Bewertung Kolloquium'!$E$9,'[1]Bewertung Kolloquium'!$E125,"")))</f>
        <v>#REF!</v>
      </c>
      <c r="AM266" s="83">
        <f>'[1]Bewertung Kolloquium'!F125</f>
        <v>0</v>
      </c>
      <c r="AN266" s="83">
        <f>'[1]Bewertung Kolloquium'!L125</f>
        <v>0</v>
      </c>
      <c r="AO266" s="82"/>
      <c r="AP266" s="82"/>
    </row>
    <row r="267" spans="14:42">
      <c r="N267" s="82"/>
      <c r="O267" s="82"/>
      <c r="P267" s="82"/>
      <c r="Q267" s="82"/>
      <c r="R267" s="82"/>
      <c r="S267" s="82"/>
      <c r="T267" s="82"/>
      <c r="U267" s="82"/>
      <c r="V267" s="82"/>
      <c r="W267" s="82"/>
      <c r="X267" s="82"/>
      <c r="Y267" s="82"/>
      <c r="Z267" s="82"/>
      <c r="AA267" s="82"/>
      <c r="AB267" s="82"/>
      <c r="AC267" s="82"/>
      <c r="AD267" s="82"/>
      <c r="AE267" s="82"/>
      <c r="AF267" s="82"/>
      <c r="AG267" s="82"/>
      <c r="AH267" s="82"/>
      <c r="AI267" s="82"/>
      <c r="AJ267" s="82">
        <f>'[1]Bewertung Kolloquium'!A126</f>
        <v>0</v>
      </c>
      <c r="AK267" s="82">
        <f>'[1]Bewertung Kolloquium'!A126</f>
        <v>0</v>
      </c>
      <c r="AL267" s="82" t="e">
        <f>IF('[1]Bewertung Kolloquium'!F126='[1]Bewertung Kolloquium'!$C$9,'[1]Bewertung Kolloquium'!$C126,IF('[1]Bewertung Kolloquium'!F126='[1]Bewertung Kolloquium'!$D$9,'[1]Bewertung Kolloquium'!$D126,IF('[1]Bewertung Kolloquium'!F126='[1]Bewertung Kolloquium'!$E$9,'[1]Bewertung Kolloquium'!$E126,"")))</f>
        <v>#REF!</v>
      </c>
      <c r="AM267" s="83">
        <f>'[1]Bewertung Kolloquium'!F126</f>
        <v>0</v>
      </c>
      <c r="AN267" s="83">
        <f>'[1]Bewertung Kolloquium'!L126</f>
        <v>0</v>
      </c>
      <c r="AO267" s="82"/>
      <c r="AP267" s="82"/>
    </row>
    <row r="268" spans="14:42">
      <c r="N268" s="82"/>
      <c r="O268" s="82"/>
      <c r="P268" s="82"/>
      <c r="Q268" s="82"/>
      <c r="R268" s="82"/>
      <c r="S268" s="82"/>
      <c r="T268" s="82"/>
      <c r="U268" s="82"/>
      <c r="V268" s="82"/>
      <c r="W268" s="82"/>
      <c r="X268" s="82"/>
      <c r="Y268" s="82"/>
      <c r="Z268" s="82"/>
      <c r="AA268" s="82"/>
      <c r="AB268" s="82"/>
      <c r="AC268" s="82"/>
      <c r="AD268" s="82"/>
      <c r="AE268" s="82"/>
      <c r="AF268" s="82"/>
      <c r="AG268" s="82"/>
      <c r="AH268" s="82"/>
      <c r="AI268" s="82"/>
      <c r="AJ268" s="82">
        <f>'[1]Bewertung Kolloquium'!A127</f>
        <v>0</v>
      </c>
      <c r="AK268" s="82">
        <f>'[1]Bewertung Kolloquium'!A127</f>
        <v>0</v>
      </c>
      <c r="AL268" s="82" t="e">
        <f>IF('[1]Bewertung Kolloquium'!F127='[1]Bewertung Kolloquium'!$C$9,'[1]Bewertung Kolloquium'!$C127,IF('[1]Bewertung Kolloquium'!F127='[1]Bewertung Kolloquium'!$D$9,'[1]Bewertung Kolloquium'!$D127,IF('[1]Bewertung Kolloquium'!F127='[1]Bewertung Kolloquium'!$E$9,'[1]Bewertung Kolloquium'!$E127,"")))</f>
        <v>#REF!</v>
      </c>
      <c r="AM268" s="83">
        <f>'[1]Bewertung Kolloquium'!F127</f>
        <v>0</v>
      </c>
      <c r="AN268" s="83">
        <f>'[1]Bewertung Kolloquium'!L127</f>
        <v>0</v>
      </c>
      <c r="AO268" s="82"/>
      <c r="AP268" s="82"/>
    </row>
    <row r="269" spans="14:42">
      <c r="N269" s="82"/>
      <c r="O269" s="82"/>
      <c r="P269" s="82"/>
      <c r="Q269" s="82"/>
      <c r="R269" s="82"/>
      <c r="S269" s="82"/>
      <c r="T269" s="82"/>
      <c r="U269" s="82"/>
      <c r="V269" s="82"/>
      <c r="W269" s="82"/>
      <c r="X269" s="82"/>
      <c r="Y269" s="82"/>
      <c r="Z269" s="82"/>
      <c r="AA269" s="82"/>
      <c r="AB269" s="82"/>
      <c r="AC269" s="82"/>
      <c r="AD269" s="82"/>
      <c r="AE269" s="82"/>
      <c r="AF269" s="82"/>
      <c r="AG269" s="82"/>
      <c r="AH269" s="82"/>
      <c r="AI269" s="82"/>
      <c r="AJ269" s="82">
        <f>'[1]Bewertung Kolloquium'!A128</f>
        <v>0</v>
      </c>
      <c r="AK269" s="82">
        <f>'[1]Bewertung Kolloquium'!A128</f>
        <v>0</v>
      </c>
      <c r="AL269" s="82" t="e">
        <f>IF('[1]Bewertung Kolloquium'!F128='[1]Bewertung Kolloquium'!$C$9,'[1]Bewertung Kolloquium'!$C128,IF('[1]Bewertung Kolloquium'!F128='[1]Bewertung Kolloquium'!$D$9,'[1]Bewertung Kolloquium'!$D128,IF('[1]Bewertung Kolloquium'!F128='[1]Bewertung Kolloquium'!$E$9,'[1]Bewertung Kolloquium'!$E128,"")))</f>
        <v>#REF!</v>
      </c>
      <c r="AM269" s="83">
        <f>'[1]Bewertung Kolloquium'!F128</f>
        <v>0</v>
      </c>
      <c r="AN269" s="83">
        <f>'[1]Bewertung Kolloquium'!L128</f>
        <v>0</v>
      </c>
      <c r="AO269" s="82"/>
      <c r="AP269" s="82"/>
    </row>
    <row r="270" spans="14:42">
      <c r="N270" s="82"/>
      <c r="O270" s="82"/>
      <c r="P270" s="82"/>
      <c r="Q270" s="82"/>
      <c r="R270" s="82"/>
      <c r="S270" s="82"/>
      <c r="T270" s="82"/>
      <c r="U270" s="82"/>
      <c r="V270" s="82"/>
      <c r="W270" s="82"/>
      <c r="X270" s="82"/>
      <c r="Y270" s="82"/>
      <c r="Z270" s="82"/>
      <c r="AA270" s="82"/>
      <c r="AB270" s="82"/>
      <c r="AC270" s="82"/>
      <c r="AD270" s="82"/>
      <c r="AE270" s="82"/>
      <c r="AF270" s="82"/>
      <c r="AG270" s="82"/>
      <c r="AH270" s="82"/>
      <c r="AI270" s="82"/>
      <c r="AJ270" s="82">
        <f>'[1]Bewertung Kolloquium'!A129</f>
        <v>0</v>
      </c>
      <c r="AK270" s="82">
        <f>'[1]Bewertung Kolloquium'!A129</f>
        <v>0</v>
      </c>
      <c r="AL270" s="82" t="e">
        <f>IF('[1]Bewertung Kolloquium'!F129='[1]Bewertung Kolloquium'!$C$9,'[1]Bewertung Kolloquium'!$C129,IF('[1]Bewertung Kolloquium'!F129='[1]Bewertung Kolloquium'!$D$9,'[1]Bewertung Kolloquium'!$D129,IF('[1]Bewertung Kolloquium'!F129='[1]Bewertung Kolloquium'!$E$9,'[1]Bewertung Kolloquium'!$E129,"")))</f>
        <v>#REF!</v>
      </c>
      <c r="AM270" s="83">
        <f>'[1]Bewertung Kolloquium'!F129</f>
        <v>0</v>
      </c>
      <c r="AN270" s="83">
        <f>'[1]Bewertung Kolloquium'!L129</f>
        <v>0</v>
      </c>
      <c r="AO270" s="82"/>
      <c r="AP270" s="82"/>
    </row>
    <row r="271" spans="14:42">
      <c r="N271" s="82"/>
      <c r="O271" s="82"/>
      <c r="P271" s="82"/>
      <c r="Q271" s="82"/>
      <c r="R271" s="82"/>
      <c r="S271" s="82"/>
      <c r="T271" s="82"/>
      <c r="U271" s="82"/>
      <c r="V271" s="82"/>
      <c r="W271" s="82"/>
      <c r="X271" s="82"/>
      <c r="Y271" s="82"/>
      <c r="Z271" s="82"/>
      <c r="AA271" s="82"/>
      <c r="AB271" s="82"/>
      <c r="AC271" s="82"/>
      <c r="AD271" s="82"/>
      <c r="AE271" s="82"/>
      <c r="AF271" s="82"/>
      <c r="AG271" s="82"/>
      <c r="AH271" s="82"/>
      <c r="AI271" s="82"/>
      <c r="AJ271" s="82">
        <f>'[1]Bewertung Kolloquium'!A130</f>
        <v>0</v>
      </c>
      <c r="AK271" s="82">
        <f>'[1]Bewertung Kolloquium'!A130</f>
        <v>0</v>
      </c>
      <c r="AL271" s="82" t="e">
        <f>IF('[1]Bewertung Kolloquium'!F130='[1]Bewertung Kolloquium'!$C$9,'[1]Bewertung Kolloquium'!$C130,IF('[1]Bewertung Kolloquium'!F130='[1]Bewertung Kolloquium'!$D$9,'[1]Bewertung Kolloquium'!$D130,IF('[1]Bewertung Kolloquium'!F130='[1]Bewertung Kolloquium'!$E$9,'[1]Bewertung Kolloquium'!$E130,"")))</f>
        <v>#REF!</v>
      </c>
      <c r="AM271" s="83">
        <f>'[1]Bewertung Kolloquium'!F130</f>
        <v>0</v>
      </c>
      <c r="AN271" s="83">
        <f>'[1]Bewertung Kolloquium'!L130</f>
        <v>0</v>
      </c>
      <c r="AO271" s="82"/>
      <c r="AP271" s="82"/>
    </row>
    <row r="272" spans="14:42">
      <c r="N272" s="82"/>
      <c r="O272" s="82"/>
      <c r="P272" s="82"/>
      <c r="Q272" s="82"/>
      <c r="R272" s="82"/>
      <c r="S272" s="82"/>
      <c r="T272" s="82"/>
      <c r="U272" s="82"/>
      <c r="V272" s="82"/>
      <c r="W272" s="82"/>
      <c r="X272" s="82"/>
      <c r="Y272" s="82"/>
      <c r="Z272" s="82"/>
      <c r="AA272" s="82"/>
      <c r="AB272" s="82"/>
      <c r="AC272" s="82"/>
      <c r="AD272" s="82"/>
      <c r="AE272" s="82"/>
      <c r="AF272" s="82"/>
      <c r="AG272" s="82"/>
      <c r="AH272" s="82"/>
      <c r="AI272" s="82"/>
      <c r="AJ272" s="82">
        <f>'[1]Bewertung Kolloquium'!A131</f>
        <v>0</v>
      </c>
      <c r="AK272" s="82">
        <f>'[1]Bewertung Kolloquium'!A131</f>
        <v>0</v>
      </c>
      <c r="AL272" s="82" t="e">
        <f>IF('[1]Bewertung Kolloquium'!F131='[1]Bewertung Kolloquium'!$C$9,'[1]Bewertung Kolloquium'!$C131,IF('[1]Bewertung Kolloquium'!F131='[1]Bewertung Kolloquium'!$D$9,'[1]Bewertung Kolloquium'!$D131,IF('[1]Bewertung Kolloquium'!F131='[1]Bewertung Kolloquium'!$E$9,'[1]Bewertung Kolloquium'!$E131,"")))</f>
        <v>#REF!</v>
      </c>
      <c r="AM272" s="83">
        <f>'[1]Bewertung Kolloquium'!F131</f>
        <v>0</v>
      </c>
      <c r="AN272" s="83">
        <f>'[1]Bewertung Kolloquium'!L131</f>
        <v>0</v>
      </c>
      <c r="AO272" s="82"/>
      <c r="AP272" s="82"/>
    </row>
    <row r="273" spans="14:42">
      <c r="N273" s="82"/>
      <c r="O273" s="82"/>
      <c r="P273" s="82"/>
      <c r="Q273" s="82"/>
      <c r="R273" s="82"/>
      <c r="S273" s="82"/>
      <c r="T273" s="82"/>
      <c r="U273" s="82"/>
      <c r="V273" s="82"/>
      <c r="W273" s="82"/>
      <c r="X273" s="82"/>
      <c r="Y273" s="82"/>
      <c r="Z273" s="82"/>
      <c r="AA273" s="82"/>
      <c r="AB273" s="82"/>
      <c r="AC273" s="82"/>
      <c r="AD273" s="82"/>
      <c r="AE273" s="82"/>
      <c r="AF273" s="82"/>
      <c r="AG273" s="82"/>
      <c r="AH273" s="82"/>
      <c r="AI273" s="82"/>
      <c r="AJ273" s="82">
        <f>'[1]Bewertung Kolloquium'!A132</f>
        <v>0</v>
      </c>
      <c r="AK273" s="82">
        <f>'[1]Bewertung Kolloquium'!A132</f>
        <v>0</v>
      </c>
      <c r="AL273" s="82" t="e">
        <f>IF('[1]Bewertung Kolloquium'!F132='[1]Bewertung Kolloquium'!$C$9,'[1]Bewertung Kolloquium'!$C132,IF('[1]Bewertung Kolloquium'!F132='[1]Bewertung Kolloquium'!$D$9,'[1]Bewertung Kolloquium'!$D132,IF('[1]Bewertung Kolloquium'!F132='[1]Bewertung Kolloquium'!$E$9,'[1]Bewertung Kolloquium'!$E132,"")))</f>
        <v>#REF!</v>
      </c>
      <c r="AM273" s="83">
        <f>'[1]Bewertung Kolloquium'!F132</f>
        <v>0</v>
      </c>
      <c r="AN273" s="83">
        <f>'[1]Bewertung Kolloquium'!L132</f>
        <v>0</v>
      </c>
      <c r="AO273" s="82"/>
      <c r="AP273" s="82"/>
    </row>
    <row r="274" spans="14:42">
      <c r="N274" s="82"/>
      <c r="O274" s="82"/>
      <c r="P274" s="82"/>
      <c r="Q274" s="82"/>
      <c r="R274" s="82"/>
      <c r="S274" s="82"/>
      <c r="T274" s="82"/>
      <c r="U274" s="82"/>
      <c r="V274" s="82"/>
      <c r="W274" s="82"/>
      <c r="X274" s="82"/>
      <c r="Y274" s="82"/>
      <c r="Z274" s="82"/>
      <c r="AA274" s="82"/>
      <c r="AB274" s="82"/>
      <c r="AC274" s="82"/>
      <c r="AD274" s="82"/>
      <c r="AE274" s="82"/>
      <c r="AF274" s="82"/>
      <c r="AG274" s="82"/>
      <c r="AH274" s="82"/>
      <c r="AI274" s="82"/>
      <c r="AJ274" s="82">
        <f>'[1]Bewertung Kolloquium'!A133</f>
        <v>0</v>
      </c>
      <c r="AK274" s="82">
        <f>'[1]Bewertung Kolloquium'!A133</f>
        <v>0</v>
      </c>
      <c r="AL274" s="82" t="e">
        <f>IF('[1]Bewertung Kolloquium'!F133='[1]Bewertung Kolloquium'!$C$9,'[1]Bewertung Kolloquium'!$C133,IF('[1]Bewertung Kolloquium'!F133='[1]Bewertung Kolloquium'!$D$9,'[1]Bewertung Kolloquium'!$D133,IF('[1]Bewertung Kolloquium'!F133='[1]Bewertung Kolloquium'!$E$9,'[1]Bewertung Kolloquium'!$E133,"")))</f>
        <v>#REF!</v>
      </c>
      <c r="AM274" s="83">
        <f>'[1]Bewertung Kolloquium'!F133</f>
        <v>0</v>
      </c>
      <c r="AN274" s="83">
        <f>'[1]Bewertung Kolloquium'!L133</f>
        <v>0</v>
      </c>
      <c r="AO274" s="82"/>
      <c r="AP274" s="82"/>
    </row>
    <row r="275" spans="14:42">
      <c r="N275" s="82"/>
      <c r="O275" s="82"/>
      <c r="P275" s="82"/>
      <c r="Q275" s="82"/>
      <c r="R275" s="82"/>
      <c r="S275" s="82"/>
      <c r="T275" s="82"/>
      <c r="U275" s="82"/>
      <c r="V275" s="82"/>
      <c r="W275" s="82"/>
      <c r="X275" s="82"/>
      <c r="Y275" s="82"/>
      <c r="Z275" s="82"/>
      <c r="AA275" s="82"/>
      <c r="AB275" s="82"/>
      <c r="AC275" s="82"/>
      <c r="AD275" s="82"/>
      <c r="AE275" s="82"/>
      <c r="AF275" s="82"/>
      <c r="AG275" s="82"/>
      <c r="AH275" s="82"/>
      <c r="AI275" s="82"/>
      <c r="AJ275" s="82">
        <f>'[1]Bewertung Kolloquium'!A134</f>
        <v>0</v>
      </c>
      <c r="AK275" s="82">
        <f>'[1]Bewertung Kolloquium'!A134</f>
        <v>0</v>
      </c>
      <c r="AL275" s="82" t="e">
        <f>IF('[1]Bewertung Kolloquium'!F134='[1]Bewertung Kolloquium'!$C$9,'[1]Bewertung Kolloquium'!$C134,IF('[1]Bewertung Kolloquium'!F134='[1]Bewertung Kolloquium'!$D$9,'[1]Bewertung Kolloquium'!$D134,IF('[1]Bewertung Kolloquium'!F134='[1]Bewertung Kolloquium'!$E$9,'[1]Bewertung Kolloquium'!$E134,"")))</f>
        <v>#REF!</v>
      </c>
      <c r="AM275" s="83">
        <f>'[1]Bewertung Kolloquium'!F134</f>
        <v>0</v>
      </c>
      <c r="AN275" s="83">
        <f>'[1]Bewertung Kolloquium'!L134</f>
        <v>0</v>
      </c>
      <c r="AO275" s="82"/>
      <c r="AP275" s="82"/>
    </row>
    <row r="276" spans="14:42">
      <c r="N276" s="82"/>
      <c r="O276" s="82"/>
      <c r="P276" s="82"/>
      <c r="Q276" s="82"/>
      <c r="R276" s="82"/>
      <c r="S276" s="82"/>
      <c r="T276" s="82"/>
      <c r="U276" s="82"/>
      <c r="V276" s="82"/>
      <c r="W276" s="82"/>
      <c r="X276" s="82"/>
      <c r="Y276" s="82"/>
      <c r="Z276" s="82"/>
      <c r="AA276" s="82"/>
      <c r="AB276" s="82"/>
      <c r="AC276" s="82"/>
      <c r="AD276" s="82"/>
      <c r="AE276" s="82"/>
      <c r="AF276" s="82"/>
      <c r="AG276" s="82"/>
      <c r="AH276" s="82"/>
      <c r="AI276" s="82"/>
      <c r="AJ276" s="82">
        <f>'[1]Bewertung Kolloquium'!A135</f>
        <v>0</v>
      </c>
      <c r="AK276" s="82">
        <f>'[1]Bewertung Kolloquium'!A135</f>
        <v>0</v>
      </c>
      <c r="AL276" s="82" t="e">
        <f>IF('[1]Bewertung Kolloquium'!F135='[1]Bewertung Kolloquium'!$C$9,'[1]Bewertung Kolloquium'!$C135,IF('[1]Bewertung Kolloquium'!F135='[1]Bewertung Kolloquium'!$D$9,'[1]Bewertung Kolloquium'!$D135,IF('[1]Bewertung Kolloquium'!F135='[1]Bewertung Kolloquium'!$E$9,'[1]Bewertung Kolloquium'!$E135,"")))</f>
        <v>#REF!</v>
      </c>
      <c r="AM276" s="83">
        <f>'[1]Bewertung Kolloquium'!F135</f>
        <v>0</v>
      </c>
      <c r="AN276" s="83">
        <f>'[1]Bewertung Kolloquium'!L135</f>
        <v>0</v>
      </c>
      <c r="AO276" s="82"/>
      <c r="AP276" s="82"/>
    </row>
    <row r="277" spans="14:42">
      <c r="N277" s="82"/>
      <c r="O277" s="82"/>
      <c r="P277" s="82"/>
      <c r="Q277" s="82"/>
      <c r="R277" s="82"/>
      <c r="S277" s="82"/>
      <c r="T277" s="82"/>
      <c r="U277" s="82"/>
      <c r="V277" s="82"/>
      <c r="W277" s="82"/>
      <c r="X277" s="82"/>
      <c r="Y277" s="82"/>
      <c r="Z277" s="82"/>
      <c r="AA277" s="82"/>
      <c r="AB277" s="82"/>
      <c r="AC277" s="82"/>
      <c r="AD277" s="82"/>
      <c r="AE277" s="82"/>
      <c r="AF277" s="82"/>
      <c r="AG277" s="82"/>
      <c r="AH277" s="82"/>
      <c r="AI277" s="82"/>
      <c r="AJ277" s="82">
        <f>'[1]Bewertung Kolloquium'!A136</f>
        <v>0</v>
      </c>
      <c r="AK277" s="82">
        <f>'[1]Bewertung Kolloquium'!A136</f>
        <v>0</v>
      </c>
      <c r="AL277" s="82" t="e">
        <f>IF('[1]Bewertung Kolloquium'!F136='[1]Bewertung Kolloquium'!$C$9,'[1]Bewertung Kolloquium'!$C136,IF('[1]Bewertung Kolloquium'!F136='[1]Bewertung Kolloquium'!$D$9,'[1]Bewertung Kolloquium'!$D136,IF('[1]Bewertung Kolloquium'!F136='[1]Bewertung Kolloquium'!$E$9,'[1]Bewertung Kolloquium'!$E136,"")))</f>
        <v>#REF!</v>
      </c>
      <c r="AM277" s="83">
        <f>'[1]Bewertung Kolloquium'!F136</f>
        <v>0</v>
      </c>
      <c r="AN277" s="83">
        <f>'[1]Bewertung Kolloquium'!L136</f>
        <v>0</v>
      </c>
      <c r="AO277" s="82"/>
      <c r="AP277" s="82"/>
    </row>
    <row r="278" spans="14:42">
      <c r="N278" s="82"/>
      <c r="O278" s="82"/>
      <c r="P278" s="82"/>
      <c r="Q278" s="82"/>
      <c r="R278" s="82"/>
      <c r="S278" s="82"/>
      <c r="T278" s="82"/>
      <c r="U278" s="82"/>
      <c r="V278" s="82"/>
      <c r="W278" s="82"/>
      <c r="X278" s="82"/>
      <c r="Y278" s="82"/>
      <c r="Z278" s="82"/>
      <c r="AA278" s="82"/>
      <c r="AB278" s="82"/>
      <c r="AC278" s="82"/>
      <c r="AD278" s="82"/>
      <c r="AE278" s="82"/>
      <c r="AF278" s="82"/>
      <c r="AG278" s="82"/>
      <c r="AH278" s="82"/>
      <c r="AI278" s="82"/>
      <c r="AJ278" s="82">
        <f>'[1]Bewertung Kolloquium'!A137</f>
        <v>0</v>
      </c>
      <c r="AK278" s="82">
        <f>'[1]Bewertung Kolloquium'!A137</f>
        <v>0</v>
      </c>
      <c r="AL278" s="82" t="e">
        <f>IF('[1]Bewertung Kolloquium'!F137='[1]Bewertung Kolloquium'!$C$9,'[1]Bewertung Kolloquium'!$C137,IF('[1]Bewertung Kolloquium'!F137='[1]Bewertung Kolloquium'!$D$9,'[1]Bewertung Kolloquium'!$D137,IF('[1]Bewertung Kolloquium'!F137='[1]Bewertung Kolloquium'!$E$9,'[1]Bewertung Kolloquium'!$E137,"")))</f>
        <v>#REF!</v>
      </c>
      <c r="AM278" s="83">
        <f>'[1]Bewertung Kolloquium'!F137</f>
        <v>0</v>
      </c>
      <c r="AN278" s="83">
        <f>'[1]Bewertung Kolloquium'!L137</f>
        <v>0</v>
      </c>
      <c r="AO278" s="82"/>
      <c r="AP278" s="82"/>
    </row>
    <row r="279" spans="14:42">
      <c r="N279" s="82"/>
      <c r="O279" s="82"/>
      <c r="P279" s="82"/>
      <c r="Q279" s="82"/>
      <c r="R279" s="82"/>
      <c r="S279" s="82"/>
      <c r="T279" s="82"/>
      <c r="U279" s="82"/>
      <c r="V279" s="82"/>
      <c r="W279" s="82"/>
      <c r="X279" s="82"/>
      <c r="Y279" s="82"/>
      <c r="Z279" s="82"/>
      <c r="AA279" s="82"/>
      <c r="AB279" s="82"/>
      <c r="AC279" s="82"/>
      <c r="AD279" s="82"/>
      <c r="AE279" s="82"/>
      <c r="AF279" s="82"/>
      <c r="AG279" s="82"/>
      <c r="AH279" s="82"/>
      <c r="AI279" s="82"/>
      <c r="AJ279" s="82">
        <f>'[1]Bewertung Kolloquium'!A138</f>
        <v>0</v>
      </c>
      <c r="AK279" s="82">
        <f>'[1]Bewertung Kolloquium'!A138</f>
        <v>0</v>
      </c>
      <c r="AL279" s="82" t="e">
        <f>IF('[1]Bewertung Kolloquium'!F138='[1]Bewertung Kolloquium'!$C$9,'[1]Bewertung Kolloquium'!$C138,IF('[1]Bewertung Kolloquium'!F138='[1]Bewertung Kolloquium'!$D$9,'[1]Bewertung Kolloquium'!$D138,IF('[1]Bewertung Kolloquium'!F138='[1]Bewertung Kolloquium'!$E$9,'[1]Bewertung Kolloquium'!$E138,"")))</f>
        <v>#REF!</v>
      </c>
      <c r="AM279" s="83">
        <f>'[1]Bewertung Kolloquium'!F138</f>
        <v>0</v>
      </c>
      <c r="AN279" s="83">
        <f>'[1]Bewertung Kolloquium'!L138</f>
        <v>0</v>
      </c>
      <c r="AO279" s="82"/>
      <c r="AP279" s="82"/>
    </row>
    <row r="280" spans="14:42">
      <c r="N280" s="82"/>
      <c r="O280" s="82"/>
      <c r="P280" s="82"/>
      <c r="Q280" s="82"/>
      <c r="R280" s="82"/>
      <c r="S280" s="82"/>
      <c r="T280" s="82"/>
      <c r="U280" s="82"/>
      <c r="V280" s="82"/>
      <c r="W280" s="82"/>
      <c r="X280" s="82"/>
      <c r="Y280" s="82"/>
      <c r="Z280" s="82"/>
      <c r="AA280" s="82"/>
      <c r="AB280" s="82"/>
      <c r="AC280" s="82"/>
      <c r="AD280" s="82"/>
      <c r="AE280" s="82"/>
      <c r="AF280" s="82"/>
      <c r="AG280" s="82"/>
      <c r="AH280" s="82"/>
      <c r="AI280" s="82"/>
      <c r="AJ280" s="82">
        <f>'[1]Bewertung Kolloquium'!A139</f>
        <v>0</v>
      </c>
      <c r="AK280" s="82">
        <f>'[1]Bewertung Kolloquium'!A139</f>
        <v>0</v>
      </c>
      <c r="AL280" s="82" t="e">
        <f>IF('[1]Bewertung Kolloquium'!F139='[1]Bewertung Kolloquium'!$C$9,'[1]Bewertung Kolloquium'!$C139,IF('[1]Bewertung Kolloquium'!F139='[1]Bewertung Kolloquium'!$D$9,'[1]Bewertung Kolloquium'!$D139,IF('[1]Bewertung Kolloquium'!F139='[1]Bewertung Kolloquium'!$E$9,'[1]Bewertung Kolloquium'!$E139,"")))</f>
        <v>#REF!</v>
      </c>
      <c r="AM280" s="83">
        <f>'[1]Bewertung Kolloquium'!F139</f>
        <v>0</v>
      </c>
      <c r="AN280" s="83">
        <f>'[1]Bewertung Kolloquium'!L139</f>
        <v>0</v>
      </c>
      <c r="AO280" s="82"/>
      <c r="AP280" s="82"/>
    </row>
    <row r="281" spans="14:42">
      <c r="N281" s="82"/>
      <c r="O281" s="82"/>
      <c r="P281" s="82"/>
      <c r="Q281" s="82"/>
      <c r="R281" s="82"/>
      <c r="S281" s="82"/>
      <c r="T281" s="82"/>
      <c r="U281" s="82"/>
      <c r="V281" s="82"/>
      <c r="W281" s="82"/>
      <c r="X281" s="82"/>
      <c r="Y281" s="82"/>
      <c r="Z281" s="82"/>
      <c r="AA281" s="82"/>
      <c r="AB281" s="82"/>
      <c r="AC281" s="82"/>
      <c r="AD281" s="82"/>
      <c r="AE281" s="82"/>
      <c r="AF281" s="82"/>
      <c r="AG281" s="82"/>
      <c r="AH281" s="82"/>
      <c r="AI281" s="82"/>
      <c r="AJ281" s="82">
        <f>'[1]Bewertung Kolloquium'!A140</f>
        <v>0</v>
      </c>
      <c r="AK281" s="82">
        <f>'[1]Bewertung Kolloquium'!A140</f>
        <v>0</v>
      </c>
      <c r="AL281" s="82" t="e">
        <f>IF('[1]Bewertung Kolloquium'!F140='[1]Bewertung Kolloquium'!$C$9,'[1]Bewertung Kolloquium'!$C140,IF('[1]Bewertung Kolloquium'!F140='[1]Bewertung Kolloquium'!$D$9,'[1]Bewertung Kolloquium'!$D140,IF('[1]Bewertung Kolloquium'!F140='[1]Bewertung Kolloquium'!$E$9,'[1]Bewertung Kolloquium'!$E140,"")))</f>
        <v>#REF!</v>
      </c>
      <c r="AM281" s="83">
        <f>'[1]Bewertung Kolloquium'!F140</f>
        <v>0</v>
      </c>
      <c r="AN281" s="83">
        <f>'[1]Bewertung Kolloquium'!L140</f>
        <v>0</v>
      </c>
      <c r="AO281" s="82"/>
      <c r="AP281" s="82"/>
    </row>
    <row r="282" spans="14:42">
      <c r="N282" s="82"/>
      <c r="O282" s="82"/>
      <c r="P282" s="82"/>
      <c r="Q282" s="82"/>
      <c r="R282" s="82"/>
      <c r="S282" s="82"/>
      <c r="T282" s="82"/>
      <c r="U282" s="82"/>
      <c r="V282" s="82"/>
      <c r="W282" s="82"/>
      <c r="X282" s="82"/>
      <c r="Y282" s="82"/>
      <c r="Z282" s="82"/>
      <c r="AA282" s="82"/>
      <c r="AB282" s="82"/>
      <c r="AC282" s="82"/>
      <c r="AD282" s="82"/>
      <c r="AE282" s="82"/>
      <c r="AF282" s="82"/>
      <c r="AG282" s="82"/>
      <c r="AH282" s="82"/>
      <c r="AI282" s="82"/>
      <c r="AJ282" s="82">
        <f>'[1]Bewertung Kolloquium'!A141</f>
        <v>0</v>
      </c>
      <c r="AK282" s="82">
        <f>'[1]Bewertung Kolloquium'!A141</f>
        <v>0</v>
      </c>
      <c r="AL282" s="82" t="e">
        <f>IF('[1]Bewertung Kolloquium'!F141='[1]Bewertung Kolloquium'!$C$9,'[1]Bewertung Kolloquium'!$C141,IF('[1]Bewertung Kolloquium'!F141='[1]Bewertung Kolloquium'!$D$9,'[1]Bewertung Kolloquium'!$D141,IF('[1]Bewertung Kolloquium'!F141='[1]Bewertung Kolloquium'!$E$9,'[1]Bewertung Kolloquium'!$E141,"")))</f>
        <v>#REF!</v>
      </c>
      <c r="AM282" s="83">
        <f>'[1]Bewertung Kolloquium'!F141</f>
        <v>0</v>
      </c>
      <c r="AN282" s="83">
        <f>'[1]Bewertung Kolloquium'!L141</f>
        <v>0</v>
      </c>
      <c r="AO282" s="82"/>
      <c r="AP282" s="82"/>
    </row>
    <row r="283" spans="14:42">
      <c r="N283" s="82"/>
      <c r="O283" s="82"/>
      <c r="P283" s="82"/>
      <c r="Q283" s="82"/>
      <c r="R283" s="82"/>
      <c r="S283" s="82"/>
      <c r="T283" s="82"/>
      <c r="U283" s="82"/>
      <c r="V283" s="82"/>
      <c r="W283" s="82"/>
      <c r="X283" s="82"/>
      <c r="Y283" s="82"/>
      <c r="Z283" s="82"/>
      <c r="AA283" s="82"/>
      <c r="AB283" s="82"/>
      <c r="AC283" s="82"/>
      <c r="AD283" s="82"/>
      <c r="AE283" s="82"/>
      <c r="AF283" s="82"/>
      <c r="AG283" s="82"/>
      <c r="AH283" s="82"/>
      <c r="AI283" s="82"/>
      <c r="AJ283" s="82">
        <f>'[1]Bewertung Kolloquium'!A142</f>
        <v>0</v>
      </c>
      <c r="AK283" s="82">
        <f>'[1]Bewertung Kolloquium'!A142</f>
        <v>0</v>
      </c>
      <c r="AL283" s="82" t="e">
        <f>IF('[1]Bewertung Kolloquium'!F142='[1]Bewertung Kolloquium'!$C$9,'[1]Bewertung Kolloquium'!$C142,IF('[1]Bewertung Kolloquium'!F142='[1]Bewertung Kolloquium'!$D$9,'[1]Bewertung Kolloquium'!$D142,IF('[1]Bewertung Kolloquium'!F142='[1]Bewertung Kolloquium'!$E$9,'[1]Bewertung Kolloquium'!$E142,"")))</f>
        <v>#REF!</v>
      </c>
      <c r="AM283" s="83">
        <f>'[1]Bewertung Kolloquium'!F142</f>
        <v>0</v>
      </c>
      <c r="AN283" s="83">
        <f>'[1]Bewertung Kolloquium'!L142</f>
        <v>0</v>
      </c>
      <c r="AO283" s="82"/>
      <c r="AP283" s="82"/>
    </row>
    <row r="284" spans="14:42">
      <c r="N284" s="82"/>
      <c r="O284" s="82"/>
      <c r="P284" s="82"/>
      <c r="Q284" s="82"/>
      <c r="R284" s="82"/>
      <c r="S284" s="82"/>
      <c r="T284" s="82"/>
      <c r="U284" s="82"/>
      <c r="V284" s="82"/>
      <c r="W284" s="82"/>
      <c r="X284" s="82"/>
      <c r="Y284" s="82"/>
      <c r="Z284" s="82"/>
      <c r="AA284" s="82"/>
      <c r="AB284" s="82"/>
      <c r="AC284" s="82"/>
      <c r="AD284" s="82"/>
      <c r="AE284" s="82"/>
      <c r="AF284" s="82"/>
      <c r="AG284" s="82"/>
      <c r="AH284" s="82"/>
      <c r="AI284" s="82"/>
      <c r="AJ284" s="82">
        <f>'[1]Bewertung Kolloquium'!A143</f>
        <v>0</v>
      </c>
      <c r="AK284" s="82">
        <f>'[1]Bewertung Kolloquium'!A143</f>
        <v>0</v>
      </c>
      <c r="AL284" s="82" t="e">
        <f>IF('[1]Bewertung Kolloquium'!F143='[1]Bewertung Kolloquium'!$C$9,'[1]Bewertung Kolloquium'!$C143,IF('[1]Bewertung Kolloquium'!F143='[1]Bewertung Kolloquium'!$D$9,'[1]Bewertung Kolloquium'!$D143,IF('[1]Bewertung Kolloquium'!F143='[1]Bewertung Kolloquium'!$E$9,'[1]Bewertung Kolloquium'!$E143,"")))</f>
        <v>#REF!</v>
      </c>
      <c r="AM284" s="83">
        <f>'[1]Bewertung Kolloquium'!F143</f>
        <v>0</v>
      </c>
      <c r="AN284" s="83">
        <f>'[1]Bewertung Kolloquium'!L143</f>
        <v>0</v>
      </c>
      <c r="AO284" s="82"/>
      <c r="AP284" s="82"/>
    </row>
    <row r="285" spans="14:42">
      <c r="N285" s="82"/>
      <c r="O285" s="82"/>
      <c r="P285" s="82"/>
      <c r="Q285" s="82"/>
      <c r="R285" s="82"/>
      <c r="S285" s="82"/>
      <c r="T285" s="82"/>
      <c r="U285" s="82"/>
      <c r="V285" s="82"/>
      <c r="W285" s="82"/>
      <c r="X285" s="82"/>
      <c r="Y285" s="82"/>
      <c r="Z285" s="82"/>
      <c r="AA285" s="82"/>
      <c r="AB285" s="82"/>
      <c r="AC285" s="82"/>
      <c r="AD285" s="82"/>
      <c r="AE285" s="82"/>
      <c r="AF285" s="82"/>
      <c r="AG285" s="82"/>
      <c r="AH285" s="82"/>
      <c r="AI285" s="82"/>
      <c r="AJ285" s="82">
        <f>'[1]Bewertung Kolloquium'!A144</f>
        <v>0</v>
      </c>
      <c r="AK285" s="82">
        <f>'[1]Bewertung Kolloquium'!A144</f>
        <v>0</v>
      </c>
      <c r="AL285" s="82" t="e">
        <f>IF('[1]Bewertung Kolloquium'!F144='[1]Bewertung Kolloquium'!$C$9,'[1]Bewertung Kolloquium'!$C144,IF('[1]Bewertung Kolloquium'!F144='[1]Bewertung Kolloquium'!$D$9,'[1]Bewertung Kolloquium'!$D144,IF('[1]Bewertung Kolloquium'!F144='[1]Bewertung Kolloquium'!$E$9,'[1]Bewertung Kolloquium'!$E144,"")))</f>
        <v>#REF!</v>
      </c>
      <c r="AM285" s="83">
        <f>'[1]Bewertung Kolloquium'!F144</f>
        <v>0</v>
      </c>
      <c r="AN285" s="83">
        <f>'[1]Bewertung Kolloquium'!L144</f>
        <v>0</v>
      </c>
      <c r="AO285" s="82"/>
      <c r="AP285" s="82"/>
    </row>
    <row r="286" spans="14:42">
      <c r="N286" s="82"/>
      <c r="O286" s="82"/>
      <c r="P286" s="82"/>
      <c r="Q286" s="82"/>
      <c r="R286" s="82"/>
      <c r="S286" s="82"/>
      <c r="T286" s="82"/>
      <c r="U286" s="82"/>
      <c r="V286" s="82"/>
      <c r="W286" s="82"/>
      <c r="X286" s="82"/>
      <c r="Y286" s="82"/>
      <c r="Z286" s="82"/>
      <c r="AA286" s="82"/>
      <c r="AB286" s="82"/>
      <c r="AC286" s="82"/>
      <c r="AD286" s="82"/>
      <c r="AE286" s="82"/>
      <c r="AF286" s="82"/>
      <c r="AG286" s="82"/>
      <c r="AH286" s="82"/>
      <c r="AI286" s="82"/>
      <c r="AJ286" s="82">
        <f>'[1]Bewertung Kolloquium'!A145</f>
        <v>0</v>
      </c>
      <c r="AK286" s="82">
        <f>'[1]Bewertung Kolloquium'!A145</f>
        <v>0</v>
      </c>
      <c r="AL286" s="82" t="e">
        <f>IF('[1]Bewertung Kolloquium'!F145='[1]Bewertung Kolloquium'!$C$9,'[1]Bewertung Kolloquium'!$C145,IF('[1]Bewertung Kolloquium'!F145='[1]Bewertung Kolloquium'!$D$9,'[1]Bewertung Kolloquium'!$D145,IF('[1]Bewertung Kolloquium'!F145='[1]Bewertung Kolloquium'!$E$9,'[1]Bewertung Kolloquium'!$E145,"")))</f>
        <v>#REF!</v>
      </c>
      <c r="AM286" s="83">
        <f>'[1]Bewertung Kolloquium'!F145</f>
        <v>0</v>
      </c>
      <c r="AN286" s="83">
        <f>'[1]Bewertung Kolloquium'!L145</f>
        <v>0</v>
      </c>
      <c r="AO286" s="82"/>
      <c r="AP286" s="82"/>
    </row>
    <row r="287" spans="14:42">
      <c r="N287" s="82"/>
      <c r="O287" s="82"/>
      <c r="P287" s="82"/>
      <c r="Q287" s="82"/>
      <c r="R287" s="82"/>
      <c r="S287" s="82"/>
      <c r="T287" s="82"/>
      <c r="U287" s="82"/>
      <c r="V287" s="82"/>
      <c r="W287" s="82"/>
      <c r="X287" s="82"/>
      <c r="Y287" s="82"/>
      <c r="Z287" s="82"/>
      <c r="AA287" s="82"/>
      <c r="AB287" s="82"/>
      <c r="AC287" s="82"/>
      <c r="AD287" s="82"/>
      <c r="AE287" s="82"/>
      <c r="AF287" s="82"/>
      <c r="AG287" s="82"/>
      <c r="AH287" s="82"/>
      <c r="AI287" s="82"/>
      <c r="AJ287" s="82">
        <f>'[1]Bewertung Kolloquium'!A146</f>
        <v>0</v>
      </c>
      <c r="AK287" s="82">
        <f>'[1]Bewertung Kolloquium'!A146</f>
        <v>0</v>
      </c>
      <c r="AL287" s="82" t="e">
        <f>IF('[1]Bewertung Kolloquium'!F146='[1]Bewertung Kolloquium'!$C$9,'[1]Bewertung Kolloquium'!$C146,IF('[1]Bewertung Kolloquium'!F146='[1]Bewertung Kolloquium'!$D$9,'[1]Bewertung Kolloquium'!$D146,IF('[1]Bewertung Kolloquium'!F146='[1]Bewertung Kolloquium'!$E$9,'[1]Bewertung Kolloquium'!$E146,"")))</f>
        <v>#REF!</v>
      </c>
      <c r="AM287" s="83">
        <f>'[1]Bewertung Kolloquium'!F146</f>
        <v>0</v>
      </c>
      <c r="AN287" s="83">
        <f>'[1]Bewertung Kolloquium'!L146</f>
        <v>0</v>
      </c>
      <c r="AO287" s="82"/>
      <c r="AP287" s="82"/>
    </row>
    <row r="288" spans="14:42">
      <c r="N288" s="82"/>
      <c r="O288" s="82"/>
      <c r="P288" s="82"/>
      <c r="Q288" s="82"/>
      <c r="R288" s="82"/>
      <c r="S288" s="82"/>
      <c r="T288" s="82"/>
      <c r="U288" s="82"/>
      <c r="V288" s="82"/>
      <c r="W288" s="82"/>
      <c r="X288" s="82"/>
      <c r="Y288" s="82"/>
      <c r="Z288" s="82"/>
      <c r="AA288" s="82"/>
      <c r="AB288" s="82"/>
      <c r="AC288" s="82"/>
      <c r="AD288" s="82"/>
      <c r="AE288" s="82"/>
      <c r="AF288" s="82"/>
      <c r="AG288" s="82"/>
      <c r="AH288" s="82"/>
      <c r="AI288" s="82"/>
      <c r="AJ288" s="82">
        <f>'[1]Bewertung Kolloquium'!A147</f>
        <v>0</v>
      </c>
      <c r="AK288" s="82">
        <f>'[1]Bewertung Kolloquium'!A147</f>
        <v>0</v>
      </c>
      <c r="AL288" s="82" t="e">
        <f>IF('[1]Bewertung Kolloquium'!F147='[1]Bewertung Kolloquium'!$C$9,'[1]Bewertung Kolloquium'!$C147,IF('[1]Bewertung Kolloquium'!F147='[1]Bewertung Kolloquium'!$D$9,'[1]Bewertung Kolloquium'!$D147,IF('[1]Bewertung Kolloquium'!F147='[1]Bewertung Kolloquium'!$E$9,'[1]Bewertung Kolloquium'!$E147,"")))</f>
        <v>#REF!</v>
      </c>
      <c r="AM288" s="83">
        <f>'[1]Bewertung Kolloquium'!F147</f>
        <v>0</v>
      </c>
      <c r="AN288" s="83">
        <f>'[1]Bewertung Kolloquium'!L147</f>
        <v>0</v>
      </c>
      <c r="AO288" s="82"/>
      <c r="AP288" s="82"/>
    </row>
    <row r="289" spans="14:42">
      <c r="N289" s="82"/>
      <c r="O289" s="82"/>
      <c r="P289" s="82"/>
      <c r="Q289" s="82"/>
      <c r="R289" s="82"/>
      <c r="S289" s="82"/>
      <c r="T289" s="82"/>
      <c r="U289" s="82"/>
      <c r="V289" s="82"/>
      <c r="W289" s="82"/>
      <c r="X289" s="82"/>
      <c r="Y289" s="82"/>
      <c r="Z289" s="82"/>
      <c r="AA289" s="82"/>
      <c r="AB289" s="82"/>
      <c r="AC289" s="82"/>
      <c r="AD289" s="82"/>
      <c r="AE289" s="82"/>
      <c r="AF289" s="82"/>
      <c r="AG289" s="82"/>
      <c r="AH289" s="82"/>
      <c r="AI289" s="82"/>
      <c r="AJ289" s="82">
        <f>'[1]Bewertung Kolloquium'!A148</f>
        <v>0</v>
      </c>
      <c r="AK289" s="82">
        <f>'[1]Bewertung Kolloquium'!A148</f>
        <v>0</v>
      </c>
      <c r="AL289" s="82" t="e">
        <f>IF('[1]Bewertung Kolloquium'!F148='[1]Bewertung Kolloquium'!$C$9,'[1]Bewertung Kolloquium'!$C148,IF('[1]Bewertung Kolloquium'!F148='[1]Bewertung Kolloquium'!$D$9,'[1]Bewertung Kolloquium'!$D148,IF('[1]Bewertung Kolloquium'!F148='[1]Bewertung Kolloquium'!$E$9,'[1]Bewertung Kolloquium'!$E148,"")))</f>
        <v>#REF!</v>
      </c>
      <c r="AM289" s="83">
        <f>'[1]Bewertung Kolloquium'!F148</f>
        <v>0</v>
      </c>
      <c r="AN289" s="83">
        <f>'[1]Bewertung Kolloquium'!L148</f>
        <v>0</v>
      </c>
      <c r="AO289" s="82"/>
      <c r="AP289" s="82"/>
    </row>
    <row r="290" spans="14:42">
      <c r="N290" s="82"/>
      <c r="O290" s="82"/>
      <c r="P290" s="82"/>
      <c r="Q290" s="82"/>
      <c r="R290" s="82"/>
      <c r="S290" s="82"/>
      <c r="T290" s="82"/>
      <c r="U290" s="82"/>
      <c r="V290" s="82"/>
      <c r="W290" s="82"/>
      <c r="X290" s="82"/>
      <c r="Y290" s="82"/>
      <c r="Z290" s="82"/>
      <c r="AA290" s="82"/>
      <c r="AB290" s="82"/>
      <c r="AC290" s="82"/>
      <c r="AD290" s="82"/>
      <c r="AE290" s="82"/>
      <c r="AF290" s="82"/>
      <c r="AG290" s="82"/>
      <c r="AH290" s="82"/>
      <c r="AI290" s="82"/>
      <c r="AJ290" s="82">
        <f>'[1]Bewertung Kolloquium'!A149</f>
        <v>0</v>
      </c>
      <c r="AK290" s="82">
        <f>'[1]Bewertung Kolloquium'!A149</f>
        <v>0</v>
      </c>
      <c r="AL290" s="82" t="e">
        <f>IF('[1]Bewertung Kolloquium'!F149='[1]Bewertung Kolloquium'!$C$9,'[1]Bewertung Kolloquium'!$C149,IF('[1]Bewertung Kolloquium'!F149='[1]Bewertung Kolloquium'!$D$9,'[1]Bewertung Kolloquium'!$D149,IF('[1]Bewertung Kolloquium'!F149='[1]Bewertung Kolloquium'!$E$9,'[1]Bewertung Kolloquium'!$E149,"")))</f>
        <v>#REF!</v>
      </c>
      <c r="AM290" s="83">
        <f>'[1]Bewertung Kolloquium'!F149</f>
        <v>0</v>
      </c>
      <c r="AN290" s="83">
        <f>'[1]Bewertung Kolloquium'!L149</f>
        <v>0</v>
      </c>
      <c r="AO290" s="82"/>
      <c r="AP290" s="82"/>
    </row>
    <row r="291" spans="14:42">
      <c r="N291" s="82"/>
      <c r="O291" s="82"/>
      <c r="P291" s="82"/>
      <c r="Q291" s="82"/>
      <c r="R291" s="82"/>
      <c r="S291" s="82"/>
      <c r="T291" s="82"/>
      <c r="U291" s="82"/>
      <c r="V291" s="82"/>
      <c r="W291" s="82"/>
      <c r="X291" s="82"/>
      <c r="Y291" s="82"/>
      <c r="Z291" s="82"/>
      <c r="AA291" s="82"/>
      <c r="AB291" s="82"/>
      <c r="AC291" s="82"/>
      <c r="AD291" s="82"/>
      <c r="AE291" s="82"/>
      <c r="AF291" s="82"/>
      <c r="AG291" s="82"/>
      <c r="AH291" s="82"/>
      <c r="AI291" s="82"/>
      <c r="AJ291" s="82">
        <f>'[1]Bewertung Kolloquium'!A150</f>
        <v>0</v>
      </c>
      <c r="AK291" s="82">
        <f>'[1]Bewertung Kolloquium'!A150</f>
        <v>0</v>
      </c>
      <c r="AL291" s="82" t="e">
        <f>IF('[1]Bewertung Kolloquium'!F150='[1]Bewertung Kolloquium'!$C$9,'[1]Bewertung Kolloquium'!$C150,IF('[1]Bewertung Kolloquium'!F150='[1]Bewertung Kolloquium'!$D$9,'[1]Bewertung Kolloquium'!$D150,IF('[1]Bewertung Kolloquium'!F150='[1]Bewertung Kolloquium'!$E$9,'[1]Bewertung Kolloquium'!$E150,"")))</f>
        <v>#REF!</v>
      </c>
      <c r="AM291" s="83">
        <f>'[1]Bewertung Kolloquium'!F150</f>
        <v>0</v>
      </c>
      <c r="AN291" s="83">
        <f>'[1]Bewertung Kolloquium'!L150</f>
        <v>0</v>
      </c>
      <c r="AO291" s="82"/>
      <c r="AP291" s="82"/>
    </row>
    <row r="292" spans="14:42">
      <c r="N292" s="82"/>
      <c r="O292" s="82"/>
      <c r="P292" s="82"/>
      <c r="Q292" s="82"/>
      <c r="R292" s="82"/>
      <c r="S292" s="82"/>
      <c r="T292" s="82"/>
      <c r="U292" s="82"/>
      <c r="V292" s="82"/>
      <c r="W292" s="82"/>
      <c r="X292" s="82"/>
      <c r="Y292" s="82"/>
      <c r="Z292" s="82"/>
      <c r="AA292" s="82"/>
      <c r="AB292" s="82"/>
      <c r="AC292" s="82"/>
      <c r="AD292" s="82"/>
      <c r="AE292" s="82"/>
      <c r="AF292" s="82"/>
      <c r="AG292" s="82"/>
      <c r="AH292" s="82"/>
      <c r="AI292" s="82"/>
      <c r="AJ292" s="82">
        <f>'[1]Bewertung Kolloquium'!A151</f>
        <v>0</v>
      </c>
      <c r="AK292" s="82">
        <f>'[1]Bewertung Kolloquium'!A151</f>
        <v>0</v>
      </c>
      <c r="AL292" s="82" t="e">
        <f>IF('[1]Bewertung Kolloquium'!F151='[1]Bewertung Kolloquium'!$C$9,'[1]Bewertung Kolloquium'!$C151,IF('[1]Bewertung Kolloquium'!F151='[1]Bewertung Kolloquium'!$D$9,'[1]Bewertung Kolloquium'!$D151,IF('[1]Bewertung Kolloquium'!F151='[1]Bewertung Kolloquium'!$E$9,'[1]Bewertung Kolloquium'!$E151,"")))</f>
        <v>#REF!</v>
      </c>
      <c r="AM292" s="83">
        <f>'[1]Bewertung Kolloquium'!F151</f>
        <v>0</v>
      </c>
      <c r="AN292" s="83">
        <f>'[1]Bewertung Kolloquium'!L151</f>
        <v>0</v>
      </c>
      <c r="AO292" s="82"/>
      <c r="AP292" s="82"/>
    </row>
    <row r="293" spans="14:42">
      <c r="N293" s="82"/>
      <c r="O293" s="82"/>
      <c r="P293" s="82"/>
      <c r="Q293" s="82"/>
      <c r="R293" s="82"/>
      <c r="S293" s="82"/>
      <c r="T293" s="82"/>
      <c r="U293" s="82"/>
      <c r="V293" s="82"/>
      <c r="W293" s="82"/>
      <c r="X293" s="82"/>
      <c r="Y293" s="82"/>
      <c r="Z293" s="82"/>
      <c r="AA293" s="82"/>
      <c r="AB293" s="82"/>
      <c r="AC293" s="82"/>
      <c r="AD293" s="82"/>
      <c r="AE293" s="82"/>
      <c r="AF293" s="82"/>
      <c r="AG293" s="82"/>
      <c r="AH293" s="82"/>
      <c r="AI293" s="82"/>
      <c r="AJ293" s="82">
        <f>'[1]Bewertung Kolloquium'!A152</f>
        <v>0</v>
      </c>
      <c r="AK293" s="82">
        <f>'[1]Bewertung Kolloquium'!A152</f>
        <v>0</v>
      </c>
      <c r="AL293" s="82" t="e">
        <f>IF('[1]Bewertung Kolloquium'!F152='[1]Bewertung Kolloquium'!$C$9,'[1]Bewertung Kolloquium'!$C152,IF('[1]Bewertung Kolloquium'!F152='[1]Bewertung Kolloquium'!$D$9,'[1]Bewertung Kolloquium'!$D152,IF('[1]Bewertung Kolloquium'!F152='[1]Bewertung Kolloquium'!$E$9,'[1]Bewertung Kolloquium'!$E152,"")))</f>
        <v>#REF!</v>
      </c>
      <c r="AM293" s="83">
        <f>'[1]Bewertung Kolloquium'!F152</f>
        <v>0</v>
      </c>
      <c r="AN293" s="83">
        <f>'[1]Bewertung Kolloquium'!L152</f>
        <v>0</v>
      </c>
      <c r="AO293" s="82"/>
      <c r="AP293" s="82"/>
    </row>
    <row r="294" spans="14:42">
      <c r="N294" s="82"/>
      <c r="O294" s="82"/>
      <c r="P294" s="82"/>
      <c r="Q294" s="82"/>
      <c r="R294" s="82"/>
      <c r="S294" s="82"/>
      <c r="T294" s="82"/>
      <c r="U294" s="82"/>
      <c r="V294" s="82"/>
      <c r="W294" s="82"/>
      <c r="X294" s="82"/>
      <c r="Y294" s="82"/>
      <c r="Z294" s="82"/>
      <c r="AA294" s="82"/>
      <c r="AB294" s="82"/>
      <c r="AC294" s="82"/>
      <c r="AD294" s="82"/>
      <c r="AE294" s="82"/>
      <c r="AF294" s="82"/>
      <c r="AG294" s="82"/>
      <c r="AH294" s="82"/>
      <c r="AI294" s="82"/>
      <c r="AJ294" s="82">
        <f>'[1]Bewertung Kolloquium'!A153</f>
        <v>0</v>
      </c>
      <c r="AK294" s="82">
        <f>'[1]Bewertung Kolloquium'!A153</f>
        <v>0</v>
      </c>
      <c r="AL294" s="82" t="e">
        <f>IF('[1]Bewertung Kolloquium'!F153='[1]Bewertung Kolloquium'!$C$9,'[1]Bewertung Kolloquium'!$C153,IF('[1]Bewertung Kolloquium'!F153='[1]Bewertung Kolloquium'!$D$9,'[1]Bewertung Kolloquium'!$D153,IF('[1]Bewertung Kolloquium'!F153='[1]Bewertung Kolloquium'!$E$9,'[1]Bewertung Kolloquium'!$E153,"")))</f>
        <v>#REF!</v>
      </c>
      <c r="AM294" s="83">
        <f>'[1]Bewertung Kolloquium'!F153</f>
        <v>0</v>
      </c>
      <c r="AN294" s="83">
        <f>'[1]Bewertung Kolloquium'!L153</f>
        <v>0</v>
      </c>
      <c r="AO294" s="82"/>
      <c r="AP294" s="82"/>
    </row>
    <row r="295" spans="14:42">
      <c r="N295" s="82"/>
      <c r="O295" s="82"/>
      <c r="P295" s="82"/>
      <c r="Q295" s="82"/>
      <c r="R295" s="82"/>
      <c r="S295" s="82"/>
      <c r="T295" s="82"/>
      <c r="U295" s="82"/>
      <c r="V295" s="82"/>
      <c r="W295" s="82"/>
      <c r="X295" s="82"/>
      <c r="Y295" s="82"/>
      <c r="Z295" s="82"/>
      <c r="AA295" s="82"/>
      <c r="AB295" s="82"/>
      <c r="AC295" s="82"/>
      <c r="AD295" s="82"/>
      <c r="AE295" s="82"/>
      <c r="AF295" s="82"/>
      <c r="AG295" s="82"/>
      <c r="AH295" s="82"/>
      <c r="AI295" s="82"/>
      <c r="AJ295" s="82">
        <f>'[1]Bewertung Kolloquium'!A154</f>
        <v>0</v>
      </c>
      <c r="AK295" s="82">
        <f>'[1]Bewertung Kolloquium'!A154</f>
        <v>0</v>
      </c>
      <c r="AL295" s="82" t="e">
        <f>IF('[1]Bewertung Kolloquium'!F154='[1]Bewertung Kolloquium'!$C$9,'[1]Bewertung Kolloquium'!$C154,IF('[1]Bewertung Kolloquium'!F154='[1]Bewertung Kolloquium'!$D$9,'[1]Bewertung Kolloquium'!$D154,IF('[1]Bewertung Kolloquium'!F154='[1]Bewertung Kolloquium'!$E$9,'[1]Bewertung Kolloquium'!$E154,"")))</f>
        <v>#REF!</v>
      </c>
      <c r="AM295" s="83">
        <f>'[1]Bewertung Kolloquium'!F154</f>
        <v>0</v>
      </c>
      <c r="AN295" s="83">
        <f>'[1]Bewertung Kolloquium'!L154</f>
        <v>0</v>
      </c>
      <c r="AO295" s="82"/>
      <c r="AP295" s="82"/>
    </row>
    <row r="296" spans="14:42">
      <c r="N296" s="82"/>
      <c r="O296" s="82"/>
      <c r="P296" s="82"/>
      <c r="Q296" s="82"/>
      <c r="R296" s="82"/>
      <c r="S296" s="82"/>
      <c r="T296" s="82"/>
      <c r="U296" s="82"/>
      <c r="V296" s="82"/>
      <c r="W296" s="82"/>
      <c r="X296" s="82"/>
      <c r="Y296" s="82"/>
      <c r="Z296" s="82"/>
      <c r="AA296" s="82"/>
      <c r="AB296" s="82"/>
      <c r="AC296" s="82"/>
      <c r="AD296" s="82"/>
      <c r="AE296" s="82"/>
      <c r="AF296" s="82"/>
      <c r="AG296" s="82"/>
      <c r="AH296" s="82"/>
      <c r="AI296" s="82"/>
      <c r="AJ296" s="82">
        <f>'[1]Bewertung Kolloquium'!A155</f>
        <v>0</v>
      </c>
      <c r="AK296" s="82">
        <f>'[1]Bewertung Kolloquium'!A155</f>
        <v>0</v>
      </c>
      <c r="AL296" s="82" t="e">
        <f>IF('[1]Bewertung Kolloquium'!F155='[1]Bewertung Kolloquium'!$C$9,'[1]Bewertung Kolloquium'!$C155,IF('[1]Bewertung Kolloquium'!F155='[1]Bewertung Kolloquium'!$D$9,'[1]Bewertung Kolloquium'!$D155,IF('[1]Bewertung Kolloquium'!F155='[1]Bewertung Kolloquium'!$E$9,'[1]Bewertung Kolloquium'!$E155,"")))</f>
        <v>#REF!</v>
      </c>
      <c r="AM296" s="83">
        <f>'[1]Bewertung Kolloquium'!F155</f>
        <v>0</v>
      </c>
      <c r="AN296" s="83">
        <f>'[1]Bewertung Kolloquium'!L155</f>
        <v>0</v>
      </c>
      <c r="AO296" s="82"/>
      <c r="AP296" s="82"/>
    </row>
    <row r="297" spans="14:42">
      <c r="N297" s="82"/>
      <c r="O297" s="82"/>
      <c r="P297" s="82"/>
      <c r="Q297" s="82"/>
      <c r="R297" s="82"/>
      <c r="S297" s="82"/>
      <c r="T297" s="82"/>
      <c r="U297" s="82"/>
      <c r="V297" s="82"/>
      <c r="W297" s="82"/>
      <c r="X297" s="82"/>
      <c r="Y297" s="82"/>
      <c r="Z297" s="82"/>
      <c r="AA297" s="82"/>
      <c r="AB297" s="82"/>
      <c r="AC297" s="82"/>
      <c r="AD297" s="82"/>
      <c r="AE297" s="82"/>
      <c r="AF297" s="82"/>
      <c r="AG297" s="82"/>
      <c r="AH297" s="82"/>
      <c r="AI297" s="82"/>
      <c r="AJ297" s="82">
        <f>'[1]Bewertung Kolloquium'!A156</f>
        <v>0</v>
      </c>
      <c r="AK297" s="82">
        <f>'[1]Bewertung Kolloquium'!A156</f>
        <v>0</v>
      </c>
      <c r="AL297" s="82" t="e">
        <f>IF('[1]Bewertung Kolloquium'!F156='[1]Bewertung Kolloquium'!$C$9,'[1]Bewertung Kolloquium'!$C156,IF('[1]Bewertung Kolloquium'!F156='[1]Bewertung Kolloquium'!$D$9,'[1]Bewertung Kolloquium'!$D156,IF('[1]Bewertung Kolloquium'!F156='[1]Bewertung Kolloquium'!$E$9,'[1]Bewertung Kolloquium'!$E156,"")))</f>
        <v>#REF!</v>
      </c>
      <c r="AM297" s="83">
        <f>'[1]Bewertung Kolloquium'!F156</f>
        <v>0</v>
      </c>
      <c r="AN297" s="83">
        <f>'[1]Bewertung Kolloquium'!L156</f>
        <v>0</v>
      </c>
      <c r="AO297" s="82"/>
      <c r="AP297" s="82"/>
    </row>
    <row r="298" spans="14:42">
      <c r="N298" s="82"/>
      <c r="O298" s="82"/>
      <c r="P298" s="82"/>
      <c r="Q298" s="82"/>
      <c r="R298" s="82"/>
      <c r="S298" s="82"/>
      <c r="T298" s="82"/>
      <c r="U298" s="82"/>
      <c r="V298" s="82"/>
      <c r="W298" s="82"/>
      <c r="X298" s="82"/>
      <c r="Y298" s="82"/>
      <c r="Z298" s="82"/>
      <c r="AA298" s="82"/>
      <c r="AB298" s="82"/>
      <c r="AC298" s="82"/>
      <c r="AD298" s="82"/>
      <c r="AE298" s="82"/>
      <c r="AF298" s="82"/>
      <c r="AG298" s="82"/>
      <c r="AH298" s="82"/>
      <c r="AI298" s="82"/>
      <c r="AJ298" s="82">
        <f>'[1]Bewertung Kolloquium'!A157</f>
        <v>0</v>
      </c>
      <c r="AK298" s="82">
        <f>'[1]Bewertung Kolloquium'!A157</f>
        <v>0</v>
      </c>
      <c r="AL298" s="82" t="e">
        <f>IF('[1]Bewertung Kolloquium'!F157='[1]Bewertung Kolloquium'!$C$9,'[1]Bewertung Kolloquium'!$C157,IF('[1]Bewertung Kolloquium'!F157='[1]Bewertung Kolloquium'!$D$9,'[1]Bewertung Kolloquium'!$D157,IF('[1]Bewertung Kolloquium'!F157='[1]Bewertung Kolloquium'!$E$9,'[1]Bewertung Kolloquium'!$E157,"")))</f>
        <v>#REF!</v>
      </c>
      <c r="AM298" s="83">
        <f>'[1]Bewertung Kolloquium'!F157</f>
        <v>0</v>
      </c>
      <c r="AN298" s="83">
        <f>'[1]Bewertung Kolloquium'!L157</f>
        <v>0</v>
      </c>
      <c r="AO298" s="82"/>
      <c r="AP298" s="82"/>
    </row>
    <row r="299" spans="14:42">
      <c r="N299" s="82"/>
      <c r="O299" s="82"/>
      <c r="P299" s="82"/>
      <c r="Q299" s="82"/>
      <c r="R299" s="82"/>
      <c r="S299" s="82"/>
      <c r="T299" s="82"/>
      <c r="U299" s="82"/>
      <c r="V299" s="82"/>
      <c r="W299" s="82"/>
      <c r="X299" s="82"/>
      <c r="Y299" s="82"/>
      <c r="Z299" s="82"/>
      <c r="AA299" s="82"/>
      <c r="AB299" s="82"/>
      <c r="AC299" s="82"/>
      <c r="AD299" s="82"/>
      <c r="AE299" s="82"/>
      <c r="AF299" s="82"/>
      <c r="AG299" s="82"/>
      <c r="AH299" s="82"/>
      <c r="AI299" s="82"/>
      <c r="AJ299" s="82">
        <f>'[1]Bewertung Kolloquium'!A158</f>
        <v>0</v>
      </c>
      <c r="AK299" s="82">
        <f>'[1]Bewertung Kolloquium'!A158</f>
        <v>0</v>
      </c>
      <c r="AL299" s="82" t="e">
        <f>IF('[1]Bewertung Kolloquium'!F158='[1]Bewertung Kolloquium'!$C$9,'[1]Bewertung Kolloquium'!$C158,IF('[1]Bewertung Kolloquium'!F158='[1]Bewertung Kolloquium'!$D$9,'[1]Bewertung Kolloquium'!$D158,IF('[1]Bewertung Kolloquium'!F158='[1]Bewertung Kolloquium'!$E$9,'[1]Bewertung Kolloquium'!$E158,"")))</f>
        <v>#REF!</v>
      </c>
      <c r="AM299" s="83">
        <f>'[1]Bewertung Kolloquium'!F158</f>
        <v>0</v>
      </c>
      <c r="AN299" s="83">
        <f>'[1]Bewertung Kolloquium'!L158</f>
        <v>0</v>
      </c>
      <c r="AO299" s="82"/>
      <c r="AP299" s="82"/>
    </row>
    <row r="300" spans="14:42">
      <c r="N300" s="82"/>
      <c r="O300" s="82"/>
      <c r="P300" s="82"/>
      <c r="Q300" s="82"/>
      <c r="R300" s="82"/>
      <c r="S300" s="82"/>
      <c r="T300" s="82"/>
      <c r="U300" s="82"/>
      <c r="V300" s="82"/>
      <c r="W300" s="82"/>
      <c r="X300" s="82"/>
      <c r="Y300" s="82"/>
      <c r="Z300" s="82"/>
      <c r="AA300" s="82"/>
      <c r="AB300" s="82"/>
      <c r="AC300" s="82"/>
      <c r="AD300" s="82"/>
      <c r="AE300" s="82"/>
      <c r="AF300" s="82"/>
      <c r="AG300" s="82"/>
      <c r="AH300" s="82"/>
      <c r="AI300" s="82"/>
      <c r="AJ300" s="82">
        <f>'[1]Bewertung Kolloquium'!A159</f>
        <v>0</v>
      </c>
      <c r="AK300" s="82">
        <f>'[1]Bewertung Kolloquium'!A159</f>
        <v>0</v>
      </c>
      <c r="AL300" s="82" t="e">
        <f>IF('[1]Bewertung Kolloquium'!F159='[1]Bewertung Kolloquium'!$C$9,'[1]Bewertung Kolloquium'!$C159,IF('[1]Bewertung Kolloquium'!F159='[1]Bewertung Kolloquium'!$D$9,'[1]Bewertung Kolloquium'!$D159,IF('[1]Bewertung Kolloquium'!F159='[1]Bewertung Kolloquium'!$E$9,'[1]Bewertung Kolloquium'!$E159,"")))</f>
        <v>#REF!</v>
      </c>
      <c r="AM300" s="83">
        <f>'[1]Bewertung Kolloquium'!F159</f>
        <v>0</v>
      </c>
      <c r="AN300" s="83">
        <f>'[1]Bewertung Kolloquium'!L159</f>
        <v>0</v>
      </c>
      <c r="AO300" s="82"/>
      <c r="AP300" s="82"/>
    </row>
    <row r="301" spans="14:42">
      <c r="N301" s="82"/>
      <c r="O301" s="82"/>
      <c r="P301" s="82"/>
      <c r="Q301" s="82"/>
      <c r="R301" s="82"/>
      <c r="S301" s="82"/>
      <c r="T301" s="82"/>
      <c r="U301" s="82"/>
      <c r="V301" s="82"/>
      <c r="W301" s="82"/>
      <c r="X301" s="82"/>
      <c r="Y301" s="82"/>
      <c r="Z301" s="82"/>
      <c r="AA301" s="82"/>
      <c r="AB301" s="82"/>
      <c r="AC301" s="82"/>
      <c r="AD301" s="82"/>
      <c r="AE301" s="82"/>
      <c r="AF301" s="82"/>
      <c r="AG301" s="82"/>
      <c r="AH301" s="82"/>
      <c r="AI301" s="82"/>
      <c r="AJ301" s="82">
        <f>'[1]Bewertung Kolloquium'!A160</f>
        <v>0</v>
      </c>
      <c r="AK301" s="82">
        <f>'[1]Bewertung Kolloquium'!A160</f>
        <v>0</v>
      </c>
      <c r="AL301" s="82" t="e">
        <f>IF('[1]Bewertung Kolloquium'!F160='[1]Bewertung Kolloquium'!$C$9,'[1]Bewertung Kolloquium'!$C160,IF('[1]Bewertung Kolloquium'!F160='[1]Bewertung Kolloquium'!$D$9,'[1]Bewertung Kolloquium'!$D160,IF('[1]Bewertung Kolloquium'!F160='[1]Bewertung Kolloquium'!$E$9,'[1]Bewertung Kolloquium'!$E160,"")))</f>
        <v>#REF!</v>
      </c>
      <c r="AM301" s="83">
        <f>'[1]Bewertung Kolloquium'!F160</f>
        <v>0</v>
      </c>
      <c r="AN301" s="83">
        <f>'[1]Bewertung Kolloquium'!L160</f>
        <v>0</v>
      </c>
      <c r="AO301" s="82"/>
      <c r="AP301" s="82"/>
    </row>
    <row r="302" spans="14:42">
      <c r="AL302" s="28"/>
    </row>
    <row r="303" spans="14:42">
      <c r="AL303" s="28"/>
    </row>
    <row r="304" spans="14:42">
      <c r="AL304" s="28"/>
    </row>
    <row r="305" spans="38:38">
      <c r="AL305" s="28"/>
    </row>
    <row r="306" spans="38:38">
      <c r="AL306" s="28"/>
    </row>
    <row r="307" spans="38:38">
      <c r="AL307" s="28"/>
    </row>
    <row r="308" spans="38:38">
      <c r="AL308" s="28"/>
    </row>
    <row r="309" spans="38:38">
      <c r="AL309" s="28"/>
    </row>
    <row r="310" spans="38:38">
      <c r="AL310" s="28"/>
    </row>
    <row r="311" spans="38:38">
      <c r="AL311" s="28"/>
    </row>
    <row r="312" spans="38:38">
      <c r="AL312" s="28"/>
    </row>
    <row r="313" spans="38:38">
      <c r="AL313" s="28"/>
    </row>
    <row r="314" spans="38:38">
      <c r="AL314" s="28"/>
    </row>
    <row r="315" spans="38:38">
      <c r="AL315" s="28"/>
    </row>
    <row r="316" spans="38:38">
      <c r="AL316" s="28"/>
    </row>
    <row r="317" spans="38:38">
      <c r="AL317" s="28"/>
    </row>
    <row r="318" spans="38:38">
      <c r="AL318" s="28"/>
    </row>
    <row r="319" spans="38:38">
      <c r="AL319" s="28"/>
    </row>
    <row r="320" spans="38:38">
      <c r="AL320" s="28"/>
    </row>
    <row r="321" spans="38:38">
      <c r="AL321" s="28"/>
    </row>
    <row r="322" spans="38:38">
      <c r="AL322" s="28"/>
    </row>
    <row r="323" spans="38:38">
      <c r="AL323" s="28"/>
    </row>
    <row r="324" spans="38:38">
      <c r="AL324" s="28"/>
    </row>
    <row r="325" spans="38:38">
      <c r="AL325" s="28"/>
    </row>
    <row r="326" spans="38:38">
      <c r="AL326" s="28"/>
    </row>
    <row r="327" spans="38:38">
      <c r="AL327" s="28"/>
    </row>
    <row r="328" spans="38:38">
      <c r="AL328" s="28"/>
    </row>
    <row r="329" spans="38:38">
      <c r="AL329" s="28"/>
    </row>
    <row r="330" spans="38:38">
      <c r="AL330" s="28"/>
    </row>
    <row r="331" spans="38:38">
      <c r="AL331" s="28"/>
    </row>
    <row r="332" spans="38:38">
      <c r="AL332" s="28"/>
    </row>
    <row r="333" spans="38:38">
      <c r="AL333" s="28"/>
    </row>
    <row r="334" spans="38:38">
      <c r="AL334" s="28"/>
    </row>
    <row r="335" spans="38:38">
      <c r="AL335" s="28"/>
    </row>
    <row r="336" spans="38:38">
      <c r="AL336" s="28"/>
    </row>
    <row r="337" spans="38:38">
      <c r="AL337" s="28"/>
    </row>
    <row r="338" spans="38:38">
      <c r="AL338" s="28"/>
    </row>
    <row r="339" spans="38:38">
      <c r="AL339" s="28"/>
    </row>
    <row r="340" spans="38:38">
      <c r="AL340" s="28"/>
    </row>
    <row r="341" spans="38:38">
      <c r="AL341" s="28"/>
    </row>
    <row r="342" spans="38:38">
      <c r="AL342" s="28"/>
    </row>
    <row r="343" spans="38:38">
      <c r="AL343" s="28"/>
    </row>
    <row r="344" spans="38:38">
      <c r="AL344" s="28"/>
    </row>
    <row r="345" spans="38:38">
      <c r="AL345" s="28"/>
    </row>
    <row r="346" spans="38:38">
      <c r="AL346" s="28"/>
    </row>
    <row r="347" spans="38:38">
      <c r="AL347" s="28"/>
    </row>
    <row r="348" spans="38:38">
      <c r="AL348" s="28"/>
    </row>
    <row r="349" spans="38:38">
      <c r="AL349" s="28"/>
    </row>
    <row r="350" spans="38:38">
      <c r="AL350" s="28"/>
    </row>
    <row r="351" spans="38:38">
      <c r="AL351" s="28"/>
    </row>
  </sheetData>
  <protectedRanges>
    <protectedRange sqref="A40" name="Beurteilung"/>
  </protectedRanges>
  <mergeCells count="29">
    <mergeCell ref="G11:H11"/>
    <mergeCell ref="B3:F3"/>
    <mergeCell ref="B4:C4"/>
    <mergeCell ref="D4:E4"/>
    <mergeCell ref="G6:H6"/>
    <mergeCell ref="G10:H10"/>
    <mergeCell ref="G20:H20"/>
    <mergeCell ref="G21:H21"/>
    <mergeCell ref="G22:H22"/>
    <mergeCell ref="G12:H12"/>
    <mergeCell ref="G13:H13"/>
    <mergeCell ref="G14:H14"/>
    <mergeCell ref="G17:H17"/>
    <mergeCell ref="G18:H18"/>
    <mergeCell ref="G19:H19"/>
    <mergeCell ref="G23:H23"/>
    <mergeCell ref="G26:H26"/>
    <mergeCell ref="G27:H27"/>
    <mergeCell ref="G28:H28"/>
    <mergeCell ref="G29:H29"/>
    <mergeCell ref="C39:E39"/>
    <mergeCell ref="I39:J39"/>
    <mergeCell ref="A40:H40"/>
    <mergeCell ref="G30:H30"/>
    <mergeCell ref="G31:H31"/>
    <mergeCell ref="G34:H34"/>
    <mergeCell ref="G35:H35"/>
    <mergeCell ref="G36:H36"/>
    <mergeCell ref="C38:E38"/>
  </mergeCells>
  <conditionalFormatting sqref="C10:C37">
    <cfRule type="expression" dxfId="5" priority="6">
      <formula>$F10=$C$7</formula>
    </cfRule>
  </conditionalFormatting>
  <conditionalFormatting sqref="D10:D37">
    <cfRule type="expression" dxfId="4" priority="5">
      <formula>$F10=$D$7</formula>
    </cfRule>
  </conditionalFormatting>
  <conditionalFormatting sqref="E10:E37">
    <cfRule type="expression" dxfId="3" priority="4">
      <formula>$F10=$E$7</formula>
    </cfRule>
  </conditionalFormatting>
  <dataValidations count="2">
    <dataValidation showInputMessage="1" showErrorMessage="1" error="falscher Eingabewert" sqref="I26:I32 I34:I37 I10:I15 I17:I24" xr:uid="{00000000-0002-0000-0100-000000000000}"/>
    <dataValidation type="whole" showInputMessage="1" showErrorMessage="1" errorTitle="Falsche Eingabe" error="Gültige Eingabe: 1, 2 oder 3" promptTitle="Eingabe" prompt="1, 2 oder 3" sqref="F10:F15 F34:F37 F26:F32 F23:F24" xr:uid="{000F009E-0042-4607-829F-00AC005B00EE}">
      <formula1>1</formula1>
      <formula2>3</formula2>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2"/>
  <sheetViews>
    <sheetView topLeftCell="A15" workbookViewId="0">
      <selection activeCell="D14" sqref="D14"/>
    </sheetView>
  </sheetViews>
  <sheetFormatPr defaultColWidth="11.5703125" defaultRowHeight="15" outlineLevelRow="1"/>
  <cols>
    <col min="1" max="1" width="32" style="25" customWidth="1"/>
    <col min="2" max="2" width="15.5703125" style="26" customWidth="1"/>
    <col min="3" max="5" width="33.28515625" style="25" customWidth="1"/>
    <col min="6" max="6" width="16.140625" style="26" customWidth="1"/>
    <col min="7" max="8" width="18.140625" style="26" customWidth="1"/>
    <col min="9" max="9" width="16.140625" style="26" hidden="1" customWidth="1"/>
    <col min="10" max="11" width="13.7109375" style="84" hidden="1" customWidth="1"/>
    <col min="12" max="12" width="17.85546875" style="85" hidden="1" customWidth="1"/>
    <col min="13" max="16" width="11.5703125" style="25"/>
    <col min="17" max="17" width="15.7109375" style="25" customWidth="1"/>
    <col min="18" max="18" width="18" style="25" customWidth="1"/>
    <col min="19" max="16384" width="11.5703125" style="25"/>
  </cols>
  <sheetData>
    <row r="1" spans="1:20" s="29" customFormat="1" ht="21">
      <c r="A1" s="30" t="str">
        <f>Gesamtbewertung!A1&amp;" (mündlich)"</f>
        <v>Bewertung CAS KI für Softwareentwicklung (mündlich)</v>
      </c>
      <c r="B1" s="30"/>
      <c r="C1" s="30"/>
      <c r="D1" s="30"/>
      <c r="E1" s="30"/>
      <c r="F1" s="30"/>
      <c r="G1" s="30"/>
      <c r="H1" s="30"/>
      <c r="I1" s="31"/>
      <c r="J1" s="32"/>
      <c r="K1" s="32"/>
      <c r="L1" s="86"/>
    </row>
    <row r="2" spans="1:20" customFormat="1" ht="9" customHeight="1">
      <c r="A2" s="35"/>
      <c r="B2" s="35"/>
      <c r="C2" s="35"/>
      <c r="D2" s="35"/>
      <c r="E2" s="35"/>
      <c r="F2" s="35"/>
      <c r="G2" s="35"/>
      <c r="H2" s="35"/>
      <c r="I2" s="26"/>
      <c r="J2" s="25"/>
      <c r="K2" s="25"/>
      <c r="L2" s="87"/>
    </row>
    <row r="3" spans="1:20" s="39" customFormat="1" ht="15.75">
      <c r="A3" s="40" t="str">
        <f>Gesamtbewertung!A4</f>
        <v>Titel der CAS-Arbeit</v>
      </c>
      <c r="B3" s="134">
        <f>Gesamtbewertung!B4</f>
        <v>0</v>
      </c>
      <c r="C3" s="134"/>
      <c r="D3" s="134"/>
      <c r="E3" s="134"/>
      <c r="F3" s="134"/>
      <c r="G3" s="41"/>
      <c r="H3" s="41"/>
      <c r="I3" s="88"/>
      <c r="J3" s="42"/>
      <c r="K3" s="42"/>
      <c r="L3" s="89"/>
    </row>
    <row r="4" spans="1:20" s="42" customFormat="1" ht="15.75">
      <c r="A4" s="40" t="s">
        <v>55</v>
      </c>
      <c r="B4" s="135" t="str">
        <f>Gesamtbewertung!B3</f>
        <v>Verf. Vorname</v>
      </c>
      <c r="C4" s="135"/>
      <c r="D4" s="135" t="str">
        <f>Gesamtbewertung!C3</f>
        <v>Verf. Nachname</v>
      </c>
      <c r="E4" s="135"/>
      <c r="F4" s="44"/>
      <c r="G4" s="44"/>
      <c r="H4" s="44"/>
      <c r="I4" s="88"/>
      <c r="J4" s="45"/>
      <c r="K4" s="45"/>
      <c r="L4" s="90"/>
    </row>
    <row r="5" spans="1:20" ht="14.65" customHeight="1">
      <c r="N5" s="28"/>
      <c r="O5" s="28"/>
      <c r="P5" s="28"/>
      <c r="Q5" s="28"/>
      <c r="R5" s="28"/>
      <c r="S5" s="28"/>
      <c r="T5" s="28"/>
    </row>
    <row r="6" spans="1:20" ht="18">
      <c r="A6" s="138" t="s">
        <v>142</v>
      </c>
      <c r="B6" s="138"/>
      <c r="C6" s="139"/>
      <c r="D6" s="139"/>
      <c r="N6" s="28"/>
      <c r="O6" s="28"/>
      <c r="P6" s="28"/>
      <c r="Q6" s="28"/>
      <c r="R6" s="28"/>
      <c r="S6" s="28"/>
      <c r="T6" s="28"/>
    </row>
    <row r="7" spans="1:20" s="91" customFormat="1" ht="14.65" customHeight="1">
      <c r="L7" s="87"/>
      <c r="N7" s="28"/>
      <c r="O7" s="28"/>
      <c r="P7" s="28"/>
      <c r="Q7" s="28"/>
      <c r="R7" s="28"/>
      <c r="S7" s="28"/>
    </row>
    <row r="8" spans="1:20" ht="45">
      <c r="A8" s="48" t="s">
        <v>56</v>
      </c>
      <c r="B8" s="49" t="s">
        <v>17</v>
      </c>
      <c r="C8" s="49" t="s">
        <v>57</v>
      </c>
      <c r="D8" s="49" t="s">
        <v>58</v>
      </c>
      <c r="E8" s="50" t="s">
        <v>59</v>
      </c>
      <c r="F8" s="49" t="s">
        <v>60</v>
      </c>
      <c r="G8" s="136" t="s">
        <v>61</v>
      </c>
      <c r="H8" s="137"/>
      <c r="I8" s="51" t="s">
        <v>62</v>
      </c>
      <c r="J8" s="92" t="s">
        <v>63</v>
      </c>
      <c r="K8" s="92" t="s">
        <v>64</v>
      </c>
      <c r="L8" s="93" t="s">
        <v>65</v>
      </c>
    </row>
    <row r="9" spans="1:20" ht="18.75">
      <c r="A9" s="48"/>
      <c r="B9" s="49"/>
      <c r="C9" s="55">
        <v>3</v>
      </c>
      <c r="D9" s="55">
        <v>2</v>
      </c>
      <c r="E9" s="55">
        <v>1</v>
      </c>
      <c r="F9" s="49"/>
      <c r="G9" s="57" t="s">
        <v>66</v>
      </c>
      <c r="H9" s="58"/>
      <c r="I9" s="51"/>
      <c r="J9" s="94"/>
      <c r="K9" s="94"/>
      <c r="L9" s="95"/>
    </row>
    <row r="10" spans="1:20" ht="18.75" hidden="1">
      <c r="A10" s="48"/>
      <c r="B10" s="49"/>
      <c r="C10" s="49">
        <v>5</v>
      </c>
      <c r="D10" s="49">
        <v>3.5</v>
      </c>
      <c r="E10" s="49">
        <v>2</v>
      </c>
      <c r="F10" s="49"/>
      <c r="G10" s="61"/>
      <c r="H10" s="61"/>
      <c r="I10" s="51"/>
      <c r="J10" s="94"/>
      <c r="K10" s="94"/>
      <c r="L10" s="95"/>
    </row>
    <row r="11" spans="1:20" ht="18.75">
      <c r="A11" s="96" t="s">
        <v>143</v>
      </c>
      <c r="B11" s="96"/>
      <c r="C11" s="96"/>
      <c r="D11" s="96"/>
      <c r="E11" s="96"/>
      <c r="F11" s="140">
        <v>0.2</v>
      </c>
      <c r="G11" s="141" t="str">
        <f>K11&amp;" von"</f>
        <v>0 von</v>
      </c>
      <c r="H11" s="141">
        <f>J11</f>
        <v>45</v>
      </c>
      <c r="I11" s="63"/>
      <c r="J11" s="64">
        <f>SUM(J12:J17)</f>
        <v>45</v>
      </c>
      <c r="K11" s="65">
        <f>SUM(K12:K17)</f>
        <v>0</v>
      </c>
      <c r="L11" s="97"/>
    </row>
    <row r="12" spans="1:20" ht="42.75">
      <c r="A12" s="67" t="s">
        <v>144</v>
      </c>
      <c r="B12" s="68">
        <v>2</v>
      </c>
      <c r="C12" s="67" t="s">
        <v>145</v>
      </c>
      <c r="D12" s="67" t="s">
        <v>146</v>
      </c>
      <c r="E12" s="67" t="s">
        <v>147</v>
      </c>
      <c r="F12" s="69"/>
      <c r="G12" s="132"/>
      <c r="H12" s="133"/>
      <c r="I12" s="98">
        <f t="shared" ref="I12:I27" si="0">IF(F12=$C$9,$C$10,IF(F12=$D$9,$D$10,IF(F12=$E$9,$E$10,0)))</f>
        <v>0</v>
      </c>
      <c r="J12" s="94">
        <f t="shared" ref="J12:J16" si="1">B12*$C$10</f>
        <v>10</v>
      </c>
      <c r="K12" s="94">
        <f t="shared" ref="K12:K16" si="2">I12*B12</f>
        <v>0</v>
      </c>
      <c r="L12" s="99">
        <v>3.2</v>
      </c>
    </row>
    <row r="13" spans="1:20" ht="85.5">
      <c r="A13" s="67" t="s">
        <v>148</v>
      </c>
      <c r="B13" s="68">
        <v>2</v>
      </c>
      <c r="C13" s="67" t="s">
        <v>149</v>
      </c>
      <c r="D13" s="67" t="s">
        <v>150</v>
      </c>
      <c r="E13" s="67" t="s">
        <v>151</v>
      </c>
      <c r="F13" s="69"/>
      <c r="G13" s="132"/>
      <c r="H13" s="133"/>
      <c r="I13" s="98">
        <f t="shared" si="0"/>
        <v>0</v>
      </c>
      <c r="J13" s="94">
        <f t="shared" si="1"/>
        <v>10</v>
      </c>
      <c r="K13" s="94">
        <f t="shared" si="2"/>
        <v>0</v>
      </c>
      <c r="L13" s="99"/>
    </row>
    <row r="14" spans="1:20" ht="57">
      <c r="A14" s="67" t="s">
        <v>152</v>
      </c>
      <c r="B14" s="68">
        <v>2</v>
      </c>
      <c r="C14" s="67" t="s">
        <v>153</v>
      </c>
      <c r="D14" s="67" t="s">
        <v>154</v>
      </c>
      <c r="E14" s="67" t="s">
        <v>155</v>
      </c>
      <c r="F14" s="69"/>
      <c r="G14" s="132"/>
      <c r="H14" s="133"/>
      <c r="I14" s="98">
        <f t="shared" si="0"/>
        <v>0</v>
      </c>
      <c r="J14" s="94">
        <f t="shared" si="1"/>
        <v>10</v>
      </c>
      <c r="K14" s="94">
        <f t="shared" si="2"/>
        <v>0</v>
      </c>
      <c r="L14" s="99"/>
    </row>
    <row r="15" spans="1:20" ht="57">
      <c r="A15" s="67" t="s">
        <v>156</v>
      </c>
      <c r="B15" s="68">
        <v>2</v>
      </c>
      <c r="C15" s="67" t="s">
        <v>157</v>
      </c>
      <c r="D15" s="67" t="s">
        <v>158</v>
      </c>
      <c r="E15" s="67" t="s">
        <v>159</v>
      </c>
      <c r="F15" s="69"/>
      <c r="G15" s="132"/>
      <c r="H15" s="133"/>
      <c r="I15" s="98">
        <f t="shared" si="0"/>
        <v>0</v>
      </c>
      <c r="J15" s="94">
        <f t="shared" si="1"/>
        <v>10</v>
      </c>
      <c r="K15" s="94">
        <f t="shared" si="2"/>
        <v>0</v>
      </c>
      <c r="L15" s="99">
        <v>3.2</v>
      </c>
    </row>
    <row r="16" spans="1:20" ht="57.75">
      <c r="A16" s="67" t="s">
        <v>160</v>
      </c>
      <c r="B16" s="68">
        <v>1</v>
      </c>
      <c r="C16" s="67" t="s">
        <v>161</v>
      </c>
      <c r="D16" s="67" t="s">
        <v>162</v>
      </c>
      <c r="E16" s="67" t="s">
        <v>163</v>
      </c>
      <c r="F16" s="69"/>
      <c r="G16" s="132"/>
      <c r="H16" s="133"/>
      <c r="I16" s="98">
        <f t="shared" si="0"/>
        <v>0</v>
      </c>
      <c r="J16" s="94">
        <f t="shared" si="1"/>
        <v>5</v>
      </c>
      <c r="K16" s="94">
        <f t="shared" si="2"/>
        <v>0</v>
      </c>
      <c r="L16" s="99"/>
    </row>
    <row r="17" spans="1:12" ht="18.75" hidden="1" outlineLevel="1">
      <c r="A17" s="67"/>
      <c r="B17" s="68"/>
      <c r="C17" s="67"/>
      <c r="D17" s="67"/>
      <c r="E17" s="67"/>
      <c r="F17" s="69"/>
      <c r="G17" s="100"/>
      <c r="H17" s="101"/>
      <c r="I17" s="98"/>
      <c r="J17" s="94"/>
      <c r="K17" s="94"/>
      <c r="L17" s="99"/>
    </row>
    <row r="18" spans="1:12" ht="18.75" collapsed="1">
      <c r="A18" s="102" t="s">
        <v>164</v>
      </c>
      <c r="B18" s="102"/>
      <c r="C18" s="102"/>
      <c r="D18" s="102"/>
      <c r="E18" s="102"/>
      <c r="F18" s="140">
        <v>0.2</v>
      </c>
      <c r="G18" s="141" t="str">
        <f>K18&amp;" von"</f>
        <v>0 von</v>
      </c>
      <c r="H18" s="141">
        <f>J18</f>
        <v>20</v>
      </c>
      <c r="I18" s="63"/>
      <c r="J18" s="64">
        <f>SUM(J19:J21)</f>
        <v>20</v>
      </c>
      <c r="K18" s="65">
        <f>SUM(K19:K21)</f>
        <v>0</v>
      </c>
      <c r="L18" s="97"/>
    </row>
    <row r="19" spans="1:12" ht="142.5">
      <c r="A19" s="67" t="s">
        <v>165</v>
      </c>
      <c r="B19" s="68">
        <v>2</v>
      </c>
      <c r="C19" s="67" t="s">
        <v>166</v>
      </c>
      <c r="D19" s="67" t="s">
        <v>167</v>
      </c>
      <c r="E19" s="67" t="s">
        <v>168</v>
      </c>
      <c r="F19" s="69"/>
      <c r="G19" s="132"/>
      <c r="H19" s="133"/>
      <c r="I19" s="98">
        <f t="shared" si="0"/>
        <v>0</v>
      </c>
      <c r="J19" s="94">
        <f t="shared" ref="J19:J20" si="3">B19*$C$10</f>
        <v>10</v>
      </c>
      <c r="K19" s="94">
        <f t="shared" ref="K19:K20" si="4">I19*B19</f>
        <v>0</v>
      </c>
      <c r="L19" s="99"/>
    </row>
    <row r="20" spans="1:12" ht="114.75">
      <c r="A20" s="67" t="s">
        <v>169</v>
      </c>
      <c r="B20" s="68">
        <v>2</v>
      </c>
      <c r="C20" s="67" t="s">
        <v>170</v>
      </c>
      <c r="D20" s="67" t="s">
        <v>171</v>
      </c>
      <c r="E20" s="67" t="s">
        <v>172</v>
      </c>
      <c r="F20" s="69"/>
      <c r="G20" s="132"/>
      <c r="H20" s="133"/>
      <c r="I20" s="98">
        <f t="shared" si="0"/>
        <v>0</v>
      </c>
      <c r="J20" s="94">
        <f t="shared" si="3"/>
        <v>10</v>
      </c>
      <c r="K20" s="94">
        <f t="shared" si="4"/>
        <v>0</v>
      </c>
      <c r="L20" s="99"/>
    </row>
    <row r="21" spans="1:12" ht="18.75" hidden="1" outlineLevel="1">
      <c r="A21" s="67"/>
      <c r="B21" s="68"/>
      <c r="C21" s="67"/>
      <c r="D21" s="67"/>
      <c r="E21" s="67"/>
      <c r="F21" s="69"/>
      <c r="G21" s="100"/>
      <c r="H21" s="101"/>
      <c r="I21" s="98"/>
      <c r="J21" s="94"/>
      <c r="K21" s="94"/>
      <c r="L21" s="99"/>
    </row>
    <row r="22" spans="1:12" ht="18.75" collapsed="1">
      <c r="A22" s="96" t="s">
        <v>173</v>
      </c>
      <c r="B22" s="96"/>
      <c r="C22" s="96"/>
      <c r="D22" s="96"/>
      <c r="E22" s="96"/>
      <c r="F22" s="140">
        <v>0.6</v>
      </c>
      <c r="G22" s="141" t="str">
        <f>K22&amp;" von"</f>
        <v>0 von</v>
      </c>
      <c r="H22" s="141">
        <f>J22</f>
        <v>50</v>
      </c>
      <c r="I22" s="63"/>
      <c r="J22" s="64">
        <f>SUM(J23:J28)</f>
        <v>50</v>
      </c>
      <c r="K22" s="65">
        <f>SUM(K23:K28)</f>
        <v>0</v>
      </c>
      <c r="L22" s="97"/>
    </row>
    <row r="23" spans="1:12" ht="42.75">
      <c r="A23" s="67" t="s">
        <v>174</v>
      </c>
      <c r="B23" s="68">
        <v>2</v>
      </c>
      <c r="C23" s="67" t="s">
        <v>175</v>
      </c>
      <c r="D23" s="67" t="s">
        <v>176</v>
      </c>
      <c r="E23" s="67" t="s">
        <v>177</v>
      </c>
      <c r="F23" s="69"/>
      <c r="G23" s="132"/>
      <c r="H23" s="133"/>
      <c r="I23" s="98">
        <f t="shared" si="0"/>
        <v>0</v>
      </c>
      <c r="J23" s="94">
        <f t="shared" ref="J23:J27" si="5">B23*$C$10</f>
        <v>10</v>
      </c>
      <c r="K23" s="94">
        <f t="shared" ref="K23:K27" si="6">I23*B23</f>
        <v>0</v>
      </c>
      <c r="L23" s="99"/>
    </row>
    <row r="24" spans="1:12" ht="57">
      <c r="A24" s="67" t="s">
        <v>178</v>
      </c>
      <c r="B24" s="68">
        <v>2</v>
      </c>
      <c r="C24" s="67" t="s">
        <v>179</v>
      </c>
      <c r="D24" s="67" t="s">
        <v>180</v>
      </c>
      <c r="E24" s="67" t="s">
        <v>181</v>
      </c>
      <c r="F24" s="69"/>
      <c r="G24" s="132"/>
      <c r="H24" s="133"/>
      <c r="I24" s="98">
        <f t="shared" si="0"/>
        <v>0</v>
      </c>
      <c r="J24" s="94">
        <f t="shared" si="5"/>
        <v>10</v>
      </c>
      <c r="K24" s="94">
        <f t="shared" si="6"/>
        <v>0</v>
      </c>
      <c r="L24" s="99">
        <v>3.2</v>
      </c>
    </row>
    <row r="25" spans="1:12" ht="57">
      <c r="A25" s="67" t="s">
        <v>182</v>
      </c>
      <c r="B25" s="68">
        <v>1</v>
      </c>
      <c r="C25" s="67" t="s">
        <v>183</v>
      </c>
      <c r="D25" s="67" t="s">
        <v>184</v>
      </c>
      <c r="E25" s="67" t="s">
        <v>185</v>
      </c>
      <c r="F25" s="69"/>
      <c r="G25" s="132"/>
      <c r="H25" s="133"/>
      <c r="I25" s="98">
        <f t="shared" si="0"/>
        <v>0</v>
      </c>
      <c r="J25" s="94">
        <f t="shared" si="5"/>
        <v>5</v>
      </c>
      <c r="K25" s="94">
        <f t="shared" si="6"/>
        <v>0</v>
      </c>
      <c r="L25" s="99">
        <v>3.2</v>
      </c>
    </row>
    <row r="26" spans="1:12" ht="85.5">
      <c r="A26" s="67" t="s">
        <v>186</v>
      </c>
      <c r="B26" s="68">
        <v>4</v>
      </c>
      <c r="C26" s="67" t="s">
        <v>187</v>
      </c>
      <c r="D26" s="67" t="s">
        <v>188</v>
      </c>
      <c r="E26" s="67" t="s">
        <v>189</v>
      </c>
      <c r="F26" s="69"/>
      <c r="G26" s="132"/>
      <c r="H26" s="133"/>
      <c r="I26" s="98">
        <f t="shared" si="0"/>
        <v>0</v>
      </c>
      <c r="J26" s="94">
        <f t="shared" si="5"/>
        <v>20</v>
      </c>
      <c r="K26" s="94">
        <f t="shared" si="6"/>
        <v>0</v>
      </c>
      <c r="L26" s="99"/>
    </row>
    <row r="27" spans="1:12" ht="71.25">
      <c r="A27" s="67" t="s">
        <v>190</v>
      </c>
      <c r="B27" s="68">
        <v>1</v>
      </c>
      <c r="C27" s="67" t="s">
        <v>191</v>
      </c>
      <c r="D27" s="67" t="s">
        <v>192</v>
      </c>
      <c r="E27" s="67" t="s">
        <v>193</v>
      </c>
      <c r="F27" s="69"/>
      <c r="G27" s="132"/>
      <c r="H27" s="133"/>
      <c r="I27" s="98">
        <f t="shared" si="0"/>
        <v>0</v>
      </c>
      <c r="J27" s="94">
        <f t="shared" si="5"/>
        <v>5</v>
      </c>
      <c r="K27" s="94">
        <f t="shared" si="6"/>
        <v>0</v>
      </c>
      <c r="L27" s="99"/>
    </row>
    <row r="28" spans="1:12" ht="18" hidden="1" outlineLevel="1">
      <c r="A28" s="67"/>
      <c r="B28" s="68"/>
      <c r="C28" s="67"/>
      <c r="D28" s="67"/>
      <c r="E28" s="67"/>
      <c r="F28" s="69"/>
      <c r="G28" s="100"/>
      <c r="H28" s="101"/>
      <c r="I28" s="98"/>
      <c r="J28" s="94"/>
      <c r="K28" s="94"/>
      <c r="L28" s="99"/>
    </row>
    <row r="29" spans="1:12" ht="18" collapsed="1">
      <c r="A29" s="76" t="s">
        <v>194</v>
      </c>
      <c r="B29" s="76"/>
      <c r="C29" s="122" t="s">
        <v>195</v>
      </c>
      <c r="D29" s="122"/>
      <c r="E29" s="122"/>
      <c r="F29" s="77">
        <f>(5*K30)+1</f>
        <v>1</v>
      </c>
      <c r="G29" s="78"/>
      <c r="H29" s="78"/>
      <c r="I29" s="51"/>
      <c r="J29" s="94">
        <f>SUM(J22,J18,J11)</f>
        <v>115</v>
      </c>
      <c r="K29" s="94">
        <f>SUM(K22,K18,K11)</f>
        <v>0</v>
      </c>
    </row>
    <row r="30" spans="1:12" ht="18">
      <c r="A30" s="76" t="s">
        <v>194</v>
      </c>
      <c r="B30" s="76"/>
      <c r="C30" s="122" t="s">
        <v>139</v>
      </c>
      <c r="D30" s="122"/>
      <c r="E30" s="122"/>
      <c r="F30" s="80">
        <f>F29</f>
        <v>1</v>
      </c>
      <c r="G30" s="78"/>
      <c r="H30" s="78"/>
      <c r="I30" s="123" t="s">
        <v>196</v>
      </c>
      <c r="J30" s="124"/>
      <c r="K30" s="94">
        <f>SUM($K$22/$J$22*$F$22,$K$18/$J$18*$F$18,$K$11/$J$11*$F$11)</f>
        <v>0</v>
      </c>
    </row>
    <row r="31" spans="1:12" ht="25.15" customHeight="1">
      <c r="J31" s="103"/>
      <c r="K31" s="103"/>
    </row>
    <row r="32" spans="1:12">
      <c r="J32" s="103"/>
      <c r="K32" s="103"/>
    </row>
  </sheetData>
  <mergeCells count="21">
    <mergeCell ref="G19:H19"/>
    <mergeCell ref="B3:F3"/>
    <mergeCell ref="B4:C4"/>
    <mergeCell ref="D4:E4"/>
    <mergeCell ref="A6:B6"/>
    <mergeCell ref="C6:D6"/>
    <mergeCell ref="G8:H8"/>
    <mergeCell ref="G12:H12"/>
    <mergeCell ref="G13:H13"/>
    <mergeCell ref="G14:H14"/>
    <mergeCell ref="G15:H15"/>
    <mergeCell ref="G16:H16"/>
    <mergeCell ref="C29:E29"/>
    <mergeCell ref="C30:E30"/>
    <mergeCell ref="I30:J30"/>
    <mergeCell ref="G20:H20"/>
    <mergeCell ref="G23:H23"/>
    <mergeCell ref="G24:H24"/>
    <mergeCell ref="G25:H25"/>
    <mergeCell ref="G26:H26"/>
    <mergeCell ref="G27:H27"/>
  </mergeCells>
  <conditionalFormatting sqref="C12:C28">
    <cfRule type="expression" dxfId="2" priority="3">
      <formula>$F12=$C$9</formula>
    </cfRule>
  </conditionalFormatting>
  <conditionalFormatting sqref="D12:D28">
    <cfRule type="expression" dxfId="1" priority="2">
      <formula>$F12=$D$9</formula>
    </cfRule>
  </conditionalFormatting>
  <conditionalFormatting sqref="E12:E28">
    <cfRule type="expression" dxfId="0" priority="1">
      <formula>$F12=$E$9</formula>
    </cfRule>
  </conditionalFormatting>
  <dataValidations count="1">
    <dataValidation type="whole" allowBlank="1" showInputMessage="1" showErrorMessage="1" errorTitle="Falsche Eingabe" error="Gültige Werte: 1, 2 oder 3" promptTitle="Eingabe" prompt="1, 2 oder 3" sqref="F12:F17 F23:F28 F19:F21" xr:uid="{00230091-0049-4892-AB97-008600E7003F}">
      <formula1>1</formula1>
      <formula2>3</formula2>
    </dataValidation>
  </dataValidation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DBAD69CC398D154FBEFB9B75CA23B36F" ma:contentTypeVersion="11" ma:contentTypeDescription="Ein neues Dokument erstellen." ma:contentTypeScope="" ma:versionID="2644ce69dc304023da23bc63d24834f1">
  <xsd:schema xmlns:xsd="http://www.w3.org/2001/XMLSchema" xmlns:xs="http://www.w3.org/2001/XMLSchema" xmlns:p="http://schemas.microsoft.com/office/2006/metadata/properties" xmlns:ns2="6af487ad-86fd-4a0a-a4c9-a2971b4e30ad" xmlns:ns3="69b367ce-f1c0-4dfc-ba76-4f3b70d5df11" targetNamespace="http://schemas.microsoft.com/office/2006/metadata/properties" ma:root="true" ma:fieldsID="dfcca0f3c9541d3f1666a2d717ff4583" ns2:_="" ns3:_="">
    <xsd:import namespace="6af487ad-86fd-4a0a-a4c9-a2971b4e30ad"/>
    <xsd:import namespace="69b367ce-f1c0-4dfc-ba76-4f3b70d5df1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f487ad-86fd-4a0a-a4c9-a2971b4e30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7873907d-d049-4c15-acb6-7b8f2d6df67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9b367ce-f1c0-4dfc-ba76-4f3b70d5df1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c2e48a6-07f2-45c3-be24-e47923c33e91}" ma:internalName="TaxCatchAll" ma:showField="CatchAllData" ma:web="69b367ce-f1c0-4dfc-ba76-4f3b70d5df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9b367ce-f1c0-4dfc-ba76-4f3b70d5df11" xsi:nil="true"/>
    <lcf76f155ced4ddcb4097134ff3c332f xmlns="6af487ad-86fd-4a0a-a4c9-a2971b4e30a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FEAA410-4750-446A-80EF-378E023D77E1}"/>
</file>

<file path=customXml/itemProps2.xml><?xml version="1.0" encoding="utf-8"?>
<ds:datastoreItem xmlns:ds="http://schemas.openxmlformats.org/officeDocument/2006/customXml" ds:itemID="{F6B76F10-BB25-46C5-81B6-639480CAC98B}"/>
</file>

<file path=customXml/itemProps3.xml><?xml version="1.0" encoding="utf-8"?>
<ds:datastoreItem xmlns:ds="http://schemas.openxmlformats.org/officeDocument/2006/customXml" ds:itemID="{79836A05-0FCB-41AF-9B9E-30F225EB922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Samuel Fricker</dc:creator>
  <cp:keywords/>
  <dc:description/>
  <cp:lastModifiedBy>Michael Perret</cp:lastModifiedBy>
  <cp:revision>1</cp:revision>
  <dcterms:created xsi:type="dcterms:W3CDTF">2026-05-04T08:26:50Z</dcterms:created>
  <dcterms:modified xsi:type="dcterms:W3CDTF">2026-05-06T04:37:38Z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0x010100DBAD69CC398D154FBEFB9B75CA23B36F</vt:lpwstr>
  </property>
  <property fmtid="{D5CDD505-2E9C-101B-9397-08002B2CF9AE}" pid="3" name="MediaServiceImageTags">
    <vt:lpwstr/>
  </property>
</Properties>
</file>